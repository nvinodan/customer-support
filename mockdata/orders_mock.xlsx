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A5276"/>
      <sz val="10"/>
    </font>
    <font>
      <name val="Arial"/>
      <b val="1"/>
      <color rgb="001E8449"/>
      <sz val="10"/>
    </font>
    <font>
      <name val="Arial"/>
      <b val="1"/>
      <color rgb="00922B21"/>
      <sz val="10"/>
    </font>
    <font>
      <name val="Arial"/>
      <b val="1"/>
      <color rgb="007D6608"/>
      <sz val="10"/>
    </font>
    <font>
      <name val="Arial"/>
      <b val="1"/>
      <color rgb="00555555"/>
      <sz val="10"/>
    </font>
    <font>
      <name val="Arial"/>
      <b val="1"/>
      <color rgb="00FFFFFF"/>
    </font>
    <font>
      <name val="Arial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/>
      <top/>
      <bottom/>
      <diagonal/>
    </border>
    <border>
      <left style="thin">
        <color rgb="00D0D0D0"/>
      </left>
      <right style="thin">
        <color rgb="00D0D0D0"/>
      </right>
      <top/>
      <bottom/>
      <diagonal/>
    </border>
    <border>
      <left style="thin">
        <color rgb="00D0D0D0"/>
      </left>
      <right style="thin">
        <color rgb="00D0D0D0"/>
      </right>
      <top/>
      <bottom style="thin">
        <color rgb="00D0D0D0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8" customWidth="1" min="4" max="4"/>
    <col width="10" customWidth="1" min="5" max="5"/>
    <col width="16" customWidth="1" min="6" max="6"/>
    <col width="18" customWidth="1" min="7" max="7"/>
    <col width="18" customWidth="1" min="8" max="8"/>
    <col width="20" customWidth="1" min="9" max="9"/>
  </cols>
  <sheetData>
    <row r="1" ht="22" customHeight="1">
      <c r="A1" s="1" t="inlineStr">
        <is>
          <t>Order ID</t>
        </is>
      </c>
      <c r="B1" s="1" t="inlineStr">
        <is>
          <t>Customer Name</t>
        </is>
      </c>
      <c r="C1" s="1" t="inlineStr">
        <is>
          <t>Status</t>
        </is>
      </c>
      <c r="D1" s="1" t="inlineStr">
        <is>
          <t>Item Name</t>
        </is>
      </c>
      <c r="E1" s="1" t="inlineStr">
        <is>
          <t>Quantity</t>
        </is>
      </c>
      <c r="F1" s="1" t="inlineStr">
        <is>
          <t>Unit Price ($)</t>
        </is>
      </c>
      <c r="G1" s="1" t="inlineStr">
        <is>
          <t>Item Subtotal ($)</t>
        </is>
      </c>
      <c r="H1" s="1" t="inlineStr">
        <is>
          <t>Order Total ($)</t>
        </is>
      </c>
      <c r="I1" s="1" t="inlineStr">
        <is>
          <t>Estimated Delivery</t>
        </is>
      </c>
    </row>
    <row r="2">
      <c r="A2" s="2" t="inlineStr">
        <is>
          <t>ORD-754</t>
        </is>
      </c>
      <c r="B2" s="3" t="inlineStr">
        <is>
          <t>Rajesh Agarwal</t>
        </is>
      </c>
      <c r="C2" s="4" t="inlineStr">
        <is>
          <t>Shipped</t>
        </is>
      </c>
      <c r="D2" s="5" t="inlineStr">
        <is>
          <t>Desk Lamp</t>
        </is>
      </c>
      <c r="E2" s="6" t="n">
        <v>1</v>
      </c>
      <c r="F2" s="6" t="n">
        <v>29.99</v>
      </c>
      <c r="G2" s="6" t="n">
        <v>29.99</v>
      </c>
      <c r="H2" s="2" t="n">
        <v>349.95</v>
      </c>
      <c r="I2" s="7" t="inlineStr">
        <is>
          <t>2026-05-15</t>
        </is>
      </c>
    </row>
    <row r="3">
      <c r="A3" s="8" t="n"/>
      <c r="B3" s="8" t="n"/>
      <c r="C3" s="8" t="n"/>
      <c r="D3" s="5" t="inlineStr">
        <is>
          <t>Portable Charger</t>
        </is>
      </c>
      <c r="E3" s="6" t="n">
        <v>3</v>
      </c>
      <c r="F3" s="6" t="n">
        <v>39.99</v>
      </c>
      <c r="G3" s="6" t="n">
        <v>119.97</v>
      </c>
      <c r="H3" s="8" t="n"/>
      <c r="I3" s="8" t="n"/>
    </row>
    <row r="4">
      <c r="A4" s="9" t="n"/>
      <c r="B4" s="9" t="n"/>
      <c r="C4" s="9" t="n"/>
      <c r="D4" s="5" t="inlineStr">
        <is>
          <t>Drawing Tablet</t>
        </is>
      </c>
      <c r="E4" s="6" t="n">
        <v>1</v>
      </c>
      <c r="F4" s="6" t="n">
        <v>199.99</v>
      </c>
      <c r="G4" s="6" t="n">
        <v>199.99</v>
      </c>
      <c r="H4" s="9" t="n"/>
      <c r="I4" s="9" t="n"/>
    </row>
    <row r="5">
      <c r="A5" s="10" t="inlineStr">
        <is>
          <t>ORD-189</t>
        </is>
      </c>
      <c r="B5" s="11" t="inlineStr">
        <is>
          <t>Sanjay Menon</t>
        </is>
      </c>
      <c r="C5" s="12" t="inlineStr">
        <is>
          <t>Delivered</t>
        </is>
      </c>
      <c r="D5" s="11" t="inlineStr">
        <is>
          <t>Wireless Headphones</t>
        </is>
      </c>
      <c r="E5" s="13" t="n">
        <v>1</v>
      </c>
      <c r="F5" s="13" t="n">
        <v>89.98999999999999</v>
      </c>
      <c r="G5" s="13" t="n">
        <v>89.98999999999999</v>
      </c>
      <c r="H5" s="14" t="n">
        <v>89.98999999999999</v>
      </c>
      <c r="I5" s="15" t="inlineStr">
        <is>
          <t>2026-04-15</t>
        </is>
      </c>
    </row>
    <row r="6">
      <c r="A6" s="16" t="inlineStr">
        <is>
          <t>ORD-716</t>
        </is>
      </c>
      <c r="B6" s="5" t="inlineStr">
        <is>
          <t>Sneha Kapoor</t>
        </is>
      </c>
      <c r="C6" s="17" t="inlineStr">
        <is>
          <t>Shipped</t>
        </is>
      </c>
      <c r="D6" s="5" t="inlineStr">
        <is>
          <t>Noise Cancelling Earbuds</t>
        </is>
      </c>
      <c r="E6" s="6" t="n">
        <v>2</v>
      </c>
      <c r="F6" s="6" t="n">
        <v>129.99</v>
      </c>
      <c r="G6" s="6" t="n">
        <v>259.98</v>
      </c>
      <c r="H6" s="18" t="n">
        <v>259.98</v>
      </c>
      <c r="I6" s="19" t="inlineStr">
        <is>
          <t>2026-04-16</t>
        </is>
      </c>
    </row>
    <row r="7">
      <c r="A7" s="20" t="inlineStr">
        <is>
          <t>ORD-384</t>
        </is>
      </c>
      <c r="B7" s="21" t="inlineStr">
        <is>
          <t>Nisha Gupta</t>
        </is>
      </c>
      <c r="C7" s="22" t="inlineStr">
        <is>
          <t>Delayed</t>
        </is>
      </c>
      <c r="D7" s="21" t="inlineStr">
        <is>
          <t>Monitor Stand</t>
        </is>
      </c>
      <c r="E7" s="23" t="n">
        <v>3</v>
      </c>
      <c r="F7" s="23" t="n">
        <v>35</v>
      </c>
      <c r="G7" s="23" t="n">
        <v>105</v>
      </c>
      <c r="H7" s="24" t="n">
        <v>105</v>
      </c>
      <c r="I7" s="25" t="inlineStr">
        <is>
          <t>2026-04-29</t>
        </is>
      </c>
    </row>
    <row r="8">
      <c r="A8" s="2" t="inlineStr">
        <is>
          <t>ORD-259</t>
        </is>
      </c>
      <c r="B8" s="3" t="inlineStr">
        <is>
          <t>Suresh Rao</t>
        </is>
      </c>
      <c r="C8" s="4" t="inlineStr">
        <is>
          <t>Shipped</t>
        </is>
      </c>
      <c r="D8" s="5" t="inlineStr">
        <is>
          <t>USB-C Hub</t>
        </is>
      </c>
      <c r="E8" s="6" t="n">
        <v>2</v>
      </c>
      <c r="F8" s="6" t="n">
        <v>45.99</v>
      </c>
      <c r="G8" s="6" t="n">
        <v>91.98</v>
      </c>
      <c r="H8" s="2" t="n">
        <v>111.97</v>
      </c>
      <c r="I8" s="7" t="inlineStr">
        <is>
          <t>2026-04-24</t>
        </is>
      </c>
    </row>
    <row r="9">
      <c r="A9" s="9" t="n"/>
      <c r="B9" s="9" t="n"/>
      <c r="C9" s="9" t="n"/>
      <c r="D9" s="5" t="inlineStr">
        <is>
          <t>Mouse Pad</t>
        </is>
      </c>
      <c r="E9" s="6" t="n">
        <v>1</v>
      </c>
      <c r="F9" s="6" t="n">
        <v>19.99</v>
      </c>
      <c r="G9" s="6" t="n">
        <v>19.99</v>
      </c>
      <c r="H9" s="9" t="n"/>
      <c r="I9" s="9" t="n"/>
    </row>
    <row r="10">
      <c r="A10" s="16" t="inlineStr">
        <is>
          <t>ORD-718</t>
        </is>
      </c>
      <c r="B10" s="5" t="inlineStr">
        <is>
          <t>Ajay Bhat</t>
        </is>
      </c>
      <c r="C10" s="17" t="inlineStr">
        <is>
          <t>Shipped</t>
        </is>
      </c>
      <c r="D10" s="5" t="inlineStr">
        <is>
          <t>Screen Cleaner Kit</t>
        </is>
      </c>
      <c r="E10" s="6" t="n">
        <v>3</v>
      </c>
      <c r="F10" s="6" t="n">
        <v>12.99</v>
      </c>
      <c r="G10" s="6" t="n">
        <v>38.97</v>
      </c>
      <c r="H10" s="18" t="n">
        <v>38.97</v>
      </c>
      <c r="I10" s="19" t="inlineStr">
        <is>
          <t>2026-04-09</t>
        </is>
      </c>
    </row>
    <row r="11">
      <c r="A11" s="26" t="inlineStr">
        <is>
          <t>ORD-180</t>
        </is>
      </c>
      <c r="B11" s="27" t="inlineStr">
        <is>
          <t>Sanjay Joshi</t>
        </is>
      </c>
      <c r="C11" s="28" t="inlineStr">
        <is>
          <t>Delivered</t>
        </is>
      </c>
      <c r="D11" s="11" t="inlineStr">
        <is>
          <t>LED Desk Fan</t>
        </is>
      </c>
      <c r="E11" s="13" t="n">
        <v>3</v>
      </c>
      <c r="F11" s="13" t="n">
        <v>34.99</v>
      </c>
      <c r="G11" s="13" t="n">
        <v>104.97</v>
      </c>
      <c r="H11" s="26" t="n">
        <v>139.95</v>
      </c>
      <c r="I11" s="29" t="inlineStr">
        <is>
          <t>2026-05-14</t>
        </is>
      </c>
    </row>
    <row r="12">
      <c r="A12" s="8" t="n"/>
      <c r="B12" s="8" t="n"/>
      <c r="C12" s="8" t="n"/>
      <c r="D12" s="11" t="inlineStr">
        <is>
          <t>Cable Organizer</t>
        </is>
      </c>
      <c r="E12" s="13" t="n">
        <v>1</v>
      </c>
      <c r="F12" s="13" t="n">
        <v>9.99</v>
      </c>
      <c r="G12" s="13" t="n">
        <v>9.99</v>
      </c>
      <c r="H12" s="8" t="n"/>
      <c r="I12" s="8" t="n"/>
    </row>
    <row r="13">
      <c r="A13" s="9" t="n"/>
      <c r="B13" s="9" t="n"/>
      <c r="C13" s="9" t="n"/>
      <c r="D13" s="11" t="inlineStr">
        <is>
          <t>Laptop Sleeve</t>
        </is>
      </c>
      <c r="E13" s="13" t="n">
        <v>1</v>
      </c>
      <c r="F13" s="13" t="n">
        <v>24.99</v>
      </c>
      <c r="G13" s="13" t="n">
        <v>24.99</v>
      </c>
      <c r="H13" s="9" t="n"/>
      <c r="I13" s="9" t="n"/>
    </row>
    <row r="14">
      <c r="A14" s="20" t="inlineStr">
        <is>
          <t>ORD-181</t>
        </is>
      </c>
      <c r="B14" s="21" t="inlineStr">
        <is>
          <t>Shreya Rao</t>
        </is>
      </c>
      <c r="C14" s="22" t="inlineStr">
        <is>
          <t>Delayed</t>
        </is>
      </c>
      <c r="D14" s="21" t="inlineStr">
        <is>
          <t>Ergonomic Mouse</t>
        </is>
      </c>
      <c r="E14" s="23" t="n">
        <v>2</v>
      </c>
      <c r="F14" s="23" t="n">
        <v>49.99</v>
      </c>
      <c r="G14" s="23" t="n">
        <v>99.98</v>
      </c>
      <c r="H14" s="24" t="n">
        <v>99.98</v>
      </c>
      <c r="I14" s="25" t="inlineStr">
        <is>
          <t>2026-05-01</t>
        </is>
      </c>
    </row>
    <row r="15">
      <c r="A15" s="10" t="inlineStr">
        <is>
          <t>ORD-266</t>
        </is>
      </c>
      <c r="B15" s="11" t="inlineStr">
        <is>
          <t>Shreya Iyer</t>
        </is>
      </c>
      <c r="C15" s="12" t="inlineStr">
        <is>
          <t>Delivered</t>
        </is>
      </c>
      <c r="D15" s="11" t="inlineStr">
        <is>
          <t>Desk Lamp</t>
        </is>
      </c>
      <c r="E15" s="13" t="n">
        <v>3</v>
      </c>
      <c r="F15" s="13" t="n">
        <v>29.99</v>
      </c>
      <c r="G15" s="13" t="n">
        <v>89.97</v>
      </c>
      <c r="H15" s="14" t="n">
        <v>89.97</v>
      </c>
      <c r="I15" s="15" t="inlineStr">
        <is>
          <t>2026-05-15</t>
        </is>
      </c>
    </row>
    <row r="16">
      <c r="A16" s="26" t="inlineStr">
        <is>
          <t>ORD-723</t>
        </is>
      </c>
      <c r="B16" s="27" t="inlineStr">
        <is>
          <t>Amit Mehta</t>
        </is>
      </c>
      <c r="C16" s="28" t="inlineStr">
        <is>
          <t>Delivered</t>
        </is>
      </c>
      <c r="D16" s="11" t="inlineStr">
        <is>
          <t>Portable Charger</t>
        </is>
      </c>
      <c r="E16" s="13" t="n">
        <v>2</v>
      </c>
      <c r="F16" s="13" t="n">
        <v>39.99</v>
      </c>
      <c r="G16" s="13" t="n">
        <v>79.98</v>
      </c>
      <c r="H16" s="26" t="n">
        <v>188.95</v>
      </c>
      <c r="I16" s="29" t="inlineStr">
        <is>
          <t>2026-05-16</t>
        </is>
      </c>
    </row>
    <row r="17">
      <c r="A17" s="8" t="n"/>
      <c r="B17" s="8" t="n"/>
      <c r="C17" s="8" t="n"/>
      <c r="D17" s="11" t="inlineStr">
        <is>
          <t>Monitor Stand</t>
        </is>
      </c>
      <c r="E17" s="13" t="n">
        <v>2</v>
      </c>
      <c r="F17" s="13" t="n">
        <v>35</v>
      </c>
      <c r="G17" s="13" t="n">
        <v>70</v>
      </c>
      <c r="H17" s="8" t="n"/>
      <c r="I17" s="8" t="n"/>
    </row>
    <row r="18">
      <c r="A18" s="9" t="n"/>
      <c r="B18" s="9" t="n"/>
      <c r="C18" s="9" t="n"/>
      <c r="D18" s="11" t="inlineStr">
        <is>
          <t>Screen Cleaner Kit</t>
        </is>
      </c>
      <c r="E18" s="13" t="n">
        <v>3</v>
      </c>
      <c r="F18" s="13" t="n">
        <v>12.99</v>
      </c>
      <c r="G18" s="13" t="n">
        <v>38.97</v>
      </c>
      <c r="H18" s="9" t="n"/>
      <c r="I18" s="9" t="n"/>
    </row>
    <row r="19">
      <c r="A19" s="10" t="inlineStr">
        <is>
          <t>ORD-801</t>
        </is>
      </c>
      <c r="B19" s="11" t="inlineStr">
        <is>
          <t>Pooja Gupta</t>
        </is>
      </c>
      <c r="C19" s="12" t="inlineStr">
        <is>
          <t>Delivered</t>
        </is>
      </c>
      <c r="D19" s="11" t="inlineStr">
        <is>
          <t>Portable Charger</t>
        </is>
      </c>
      <c r="E19" s="13" t="n">
        <v>1</v>
      </c>
      <c r="F19" s="13" t="n">
        <v>39.99</v>
      </c>
      <c r="G19" s="13" t="n">
        <v>39.99</v>
      </c>
      <c r="H19" s="14" t="n">
        <v>39.99</v>
      </c>
      <c r="I19" s="15" t="inlineStr">
        <is>
          <t>2026-04-22</t>
        </is>
      </c>
    </row>
    <row r="20">
      <c r="A20" s="2" t="inlineStr">
        <is>
          <t>ORD-167</t>
        </is>
      </c>
      <c r="B20" s="3" t="inlineStr">
        <is>
          <t>Kavya Reddy</t>
        </is>
      </c>
      <c r="C20" s="4" t="inlineStr">
        <is>
          <t>Shipped</t>
        </is>
      </c>
      <c r="D20" s="5" t="inlineStr">
        <is>
          <t>Phone Stand</t>
        </is>
      </c>
      <c r="E20" s="6" t="n">
        <v>2</v>
      </c>
      <c r="F20" s="6" t="n">
        <v>14.99</v>
      </c>
      <c r="G20" s="6" t="n">
        <v>29.98</v>
      </c>
      <c r="H20" s="2" t="n">
        <v>140.93</v>
      </c>
      <c r="I20" s="7" t="inlineStr">
        <is>
          <t>2026-04-11</t>
        </is>
      </c>
    </row>
    <row r="21">
      <c r="A21" s="8" t="n"/>
      <c r="B21" s="8" t="n"/>
      <c r="C21" s="8" t="n"/>
      <c r="D21" s="5" t="inlineStr">
        <is>
          <t>Laptop Sleeve</t>
        </is>
      </c>
      <c r="E21" s="6" t="n">
        <v>3</v>
      </c>
      <c r="F21" s="6" t="n">
        <v>24.99</v>
      </c>
      <c r="G21" s="6" t="n">
        <v>74.97</v>
      </c>
      <c r="H21" s="8" t="n"/>
      <c r="I21" s="8" t="n"/>
    </row>
    <row r="22">
      <c r="A22" s="9" t="n"/>
      <c r="B22" s="9" t="n"/>
      <c r="C22" s="9" t="n"/>
      <c r="D22" s="5" t="inlineStr">
        <is>
          <t>Smart Plug</t>
        </is>
      </c>
      <c r="E22" s="6" t="n">
        <v>2</v>
      </c>
      <c r="F22" s="6" t="n">
        <v>17.99</v>
      </c>
      <c r="G22" s="6" t="n">
        <v>35.98</v>
      </c>
      <c r="H22" s="9" t="n"/>
      <c r="I22" s="9" t="n"/>
    </row>
    <row r="23">
      <c r="A23" s="30" t="inlineStr">
        <is>
          <t>ORD-352</t>
        </is>
      </c>
      <c r="B23" s="31" t="inlineStr">
        <is>
          <t>Ananya Menon</t>
        </is>
      </c>
      <c r="C23" s="32" t="inlineStr">
        <is>
          <t>Pending</t>
        </is>
      </c>
      <c r="D23" s="33" t="inlineStr">
        <is>
          <t>Desk Lamp</t>
        </is>
      </c>
      <c r="E23" s="34" t="n">
        <v>3</v>
      </c>
      <c r="F23" s="34" t="n">
        <v>29.99</v>
      </c>
      <c r="G23" s="34" t="n">
        <v>89.97</v>
      </c>
      <c r="H23" s="30" t="n">
        <v>535.9299999999999</v>
      </c>
      <c r="I23" s="35" t="inlineStr">
        <is>
          <t>2026-04-16</t>
        </is>
      </c>
    </row>
    <row r="24">
      <c r="A24" s="8" t="n"/>
      <c r="B24" s="8" t="n"/>
      <c r="C24" s="8" t="n"/>
      <c r="D24" s="33" t="inlineStr">
        <is>
          <t>Drawing Tablet</t>
        </is>
      </c>
      <c r="E24" s="34" t="n">
        <v>2</v>
      </c>
      <c r="F24" s="34" t="n">
        <v>199.99</v>
      </c>
      <c r="G24" s="34" t="n">
        <v>399.98</v>
      </c>
      <c r="H24" s="8" t="n"/>
      <c r="I24" s="8" t="n"/>
    </row>
    <row r="25">
      <c r="A25" s="9" t="n"/>
      <c r="B25" s="9" t="n"/>
      <c r="C25" s="9" t="n"/>
      <c r="D25" s="33" t="inlineStr">
        <is>
          <t>Keyboard Wrist Rest</t>
        </is>
      </c>
      <c r="E25" s="34" t="n">
        <v>2</v>
      </c>
      <c r="F25" s="34" t="n">
        <v>22.99</v>
      </c>
      <c r="G25" s="34" t="n">
        <v>45.98</v>
      </c>
      <c r="H25" s="9" t="n"/>
      <c r="I25" s="9" t="n"/>
    </row>
    <row r="26">
      <c r="A26" s="16" t="inlineStr">
        <is>
          <t>ORD-605</t>
        </is>
      </c>
      <c r="B26" s="5" t="inlineStr">
        <is>
          <t>Vikram Verma</t>
        </is>
      </c>
      <c r="C26" s="17" t="inlineStr">
        <is>
          <t>Shipped</t>
        </is>
      </c>
      <c r="D26" s="5" t="inlineStr">
        <is>
          <t>USB-C Hub</t>
        </is>
      </c>
      <c r="E26" s="6" t="n">
        <v>1</v>
      </c>
      <c r="F26" s="6" t="n">
        <v>45.99</v>
      </c>
      <c r="G26" s="6" t="n">
        <v>45.99</v>
      </c>
      <c r="H26" s="18" t="n">
        <v>45.99</v>
      </c>
      <c r="I26" s="19" t="inlineStr">
        <is>
          <t>2026-05-12</t>
        </is>
      </c>
    </row>
    <row r="27">
      <c r="A27" s="2" t="inlineStr">
        <is>
          <t>ORD-710</t>
        </is>
      </c>
      <c r="B27" s="3" t="inlineStr">
        <is>
          <t>Suresh Sharma</t>
        </is>
      </c>
      <c r="C27" s="4" t="inlineStr">
        <is>
          <t>Shipped</t>
        </is>
      </c>
      <c r="D27" s="5" t="inlineStr">
        <is>
          <t>LED Desk Fan</t>
        </is>
      </c>
      <c r="E27" s="6" t="n">
        <v>3</v>
      </c>
      <c r="F27" s="6" t="n">
        <v>34.99</v>
      </c>
      <c r="G27" s="6" t="n">
        <v>104.97</v>
      </c>
      <c r="H27" s="2" t="n">
        <v>130.95</v>
      </c>
      <c r="I27" s="7" t="inlineStr">
        <is>
          <t>2026-05-07</t>
        </is>
      </c>
    </row>
    <row r="28">
      <c r="A28" s="9" t="n"/>
      <c r="B28" s="9" t="n"/>
      <c r="C28" s="9" t="n"/>
      <c r="D28" s="5" t="inlineStr">
        <is>
          <t>Screen Cleaner Kit</t>
        </is>
      </c>
      <c r="E28" s="6" t="n">
        <v>2</v>
      </c>
      <c r="F28" s="6" t="n">
        <v>12.99</v>
      </c>
      <c r="G28" s="6" t="n">
        <v>25.98</v>
      </c>
      <c r="H28" s="9" t="n"/>
      <c r="I28" s="9" t="n"/>
    </row>
    <row r="29">
      <c r="A29" s="30" t="inlineStr">
        <is>
          <t>ORD-796</t>
        </is>
      </c>
      <c r="B29" s="31" t="inlineStr">
        <is>
          <t>Sneha Sharma</t>
        </is>
      </c>
      <c r="C29" s="32" t="inlineStr">
        <is>
          <t>Pending</t>
        </is>
      </c>
      <c r="D29" s="33" t="inlineStr">
        <is>
          <t>Noise Cancelling Earbuds</t>
        </is>
      </c>
      <c r="E29" s="34" t="n">
        <v>1</v>
      </c>
      <c r="F29" s="34" t="n">
        <v>129.99</v>
      </c>
      <c r="G29" s="34" t="n">
        <v>129.99</v>
      </c>
      <c r="H29" s="30" t="n">
        <v>219.95</v>
      </c>
      <c r="I29" s="35" t="inlineStr">
        <is>
          <t>2026-04-12</t>
        </is>
      </c>
    </row>
    <row r="30">
      <c r="A30" s="8" t="n"/>
      <c r="B30" s="8" t="n"/>
      <c r="C30" s="8" t="n"/>
      <c r="D30" s="33" t="inlineStr">
        <is>
          <t>Desk Lamp</t>
        </is>
      </c>
      <c r="E30" s="34" t="n">
        <v>2</v>
      </c>
      <c r="F30" s="34" t="n">
        <v>29.99</v>
      </c>
      <c r="G30" s="34" t="n">
        <v>59.98</v>
      </c>
      <c r="H30" s="8" t="n"/>
      <c r="I30" s="8" t="n"/>
    </row>
    <row r="31">
      <c r="A31" s="9" t="n"/>
      <c r="B31" s="9" t="n"/>
      <c r="C31" s="9" t="n"/>
      <c r="D31" s="33" t="inlineStr">
        <is>
          <t>Phone Stand</t>
        </is>
      </c>
      <c r="E31" s="34" t="n">
        <v>2</v>
      </c>
      <c r="F31" s="34" t="n">
        <v>14.99</v>
      </c>
      <c r="G31" s="34" t="n">
        <v>29.98</v>
      </c>
      <c r="H31" s="9" t="n"/>
      <c r="I31" s="9" t="n"/>
    </row>
    <row r="32">
      <c r="A32" s="36" t="inlineStr">
        <is>
          <t>ORD-839</t>
        </is>
      </c>
      <c r="B32" s="37" t="inlineStr">
        <is>
          <t>Rohan Menon</t>
        </is>
      </c>
      <c r="C32" s="38" t="inlineStr">
        <is>
          <t>Delayed</t>
        </is>
      </c>
      <c r="D32" s="21" t="inlineStr">
        <is>
          <t>External SSD 1TB</t>
        </is>
      </c>
      <c r="E32" s="23" t="n">
        <v>3</v>
      </c>
      <c r="F32" s="23" t="n">
        <v>109.99</v>
      </c>
      <c r="G32" s="23" t="n">
        <v>329.97</v>
      </c>
      <c r="H32" s="36" t="n">
        <v>364.97</v>
      </c>
      <c r="I32" s="39" t="inlineStr">
        <is>
          <t>2026-05-12</t>
        </is>
      </c>
    </row>
    <row r="33">
      <c r="A33" s="9" t="n"/>
      <c r="B33" s="9" t="n"/>
      <c r="C33" s="9" t="n"/>
      <c r="D33" s="21" t="inlineStr">
        <is>
          <t>Monitor Stand</t>
        </is>
      </c>
      <c r="E33" s="23" t="n">
        <v>1</v>
      </c>
      <c r="F33" s="23" t="n">
        <v>35</v>
      </c>
      <c r="G33" s="23" t="n">
        <v>35</v>
      </c>
      <c r="H33" s="9" t="n"/>
      <c r="I33" s="9" t="n"/>
    </row>
    <row r="34">
      <c r="A34" s="16" t="inlineStr">
        <is>
          <t>ORD-303</t>
        </is>
      </c>
      <c r="B34" s="5" t="inlineStr">
        <is>
          <t>Nikhil Pillai</t>
        </is>
      </c>
      <c r="C34" s="17" t="inlineStr">
        <is>
          <t>Shipped</t>
        </is>
      </c>
      <c r="D34" s="5" t="inlineStr">
        <is>
          <t>Noise Cancelling Earbuds</t>
        </is>
      </c>
      <c r="E34" s="6" t="n">
        <v>3</v>
      </c>
      <c r="F34" s="6" t="n">
        <v>129.99</v>
      </c>
      <c r="G34" s="6" t="n">
        <v>389.97</v>
      </c>
      <c r="H34" s="18" t="n">
        <v>389.97</v>
      </c>
      <c r="I34" s="19" t="inlineStr">
        <is>
          <t>2026-04-02</t>
        </is>
      </c>
    </row>
    <row r="35">
      <c r="A35" s="2" t="inlineStr">
        <is>
          <t>ORD-600</t>
        </is>
      </c>
      <c r="B35" s="3" t="inlineStr">
        <is>
          <t>Meera Iyer</t>
        </is>
      </c>
      <c r="C35" s="4" t="inlineStr">
        <is>
          <t>Shipped</t>
        </is>
      </c>
      <c r="D35" s="5" t="inlineStr">
        <is>
          <t>Bluetooth Speaker</t>
        </is>
      </c>
      <c r="E35" s="6" t="n">
        <v>1</v>
      </c>
      <c r="F35" s="6" t="n">
        <v>59.99</v>
      </c>
      <c r="G35" s="6" t="n">
        <v>59.99</v>
      </c>
      <c r="H35" s="2" t="n">
        <v>99.98</v>
      </c>
      <c r="I35" s="7" t="inlineStr">
        <is>
          <t>2026-05-08</t>
        </is>
      </c>
    </row>
    <row r="36">
      <c r="A36" s="9" t="n"/>
      <c r="B36" s="9" t="n"/>
      <c r="C36" s="9" t="n"/>
      <c r="D36" s="5" t="inlineStr">
        <is>
          <t>Portable Charger</t>
        </is>
      </c>
      <c r="E36" s="6" t="n">
        <v>1</v>
      </c>
      <c r="F36" s="6" t="n">
        <v>39.99</v>
      </c>
      <c r="G36" s="6" t="n">
        <v>39.99</v>
      </c>
      <c r="H36" s="9" t="n"/>
      <c r="I36" s="9" t="n"/>
    </row>
    <row r="37">
      <c r="A37" s="10" t="inlineStr">
        <is>
          <t>ORD-849</t>
        </is>
      </c>
      <c r="B37" s="11" t="inlineStr">
        <is>
          <t>Varun Shah</t>
        </is>
      </c>
      <c r="C37" s="12" t="inlineStr">
        <is>
          <t>Delivered</t>
        </is>
      </c>
      <c r="D37" s="11" t="inlineStr">
        <is>
          <t>Noise Cancelling Earbuds</t>
        </is>
      </c>
      <c r="E37" s="13" t="n">
        <v>1</v>
      </c>
      <c r="F37" s="13" t="n">
        <v>129.99</v>
      </c>
      <c r="G37" s="13" t="n">
        <v>129.99</v>
      </c>
      <c r="H37" s="14" t="n">
        <v>129.99</v>
      </c>
      <c r="I37" s="15" t="inlineStr">
        <is>
          <t>2026-04-10</t>
        </is>
      </c>
    </row>
    <row r="38">
      <c r="A38" s="2" t="inlineStr">
        <is>
          <t>ORD-662</t>
        </is>
      </c>
      <c r="B38" s="3" t="inlineStr">
        <is>
          <t>Asha Joshi</t>
        </is>
      </c>
      <c r="C38" s="4" t="inlineStr">
        <is>
          <t>Shipped</t>
        </is>
      </c>
      <c r="D38" s="5" t="inlineStr">
        <is>
          <t>LED Desk Fan</t>
        </is>
      </c>
      <c r="E38" s="6" t="n">
        <v>3</v>
      </c>
      <c r="F38" s="6" t="n">
        <v>34.99</v>
      </c>
      <c r="G38" s="6" t="n">
        <v>104.97</v>
      </c>
      <c r="H38" s="2" t="n">
        <v>248.91</v>
      </c>
      <c r="I38" s="7" t="inlineStr">
        <is>
          <t>2026-04-14</t>
        </is>
      </c>
    </row>
    <row r="39">
      <c r="A39" s="8" t="n"/>
      <c r="B39" s="8" t="n"/>
      <c r="C39" s="8" t="n"/>
      <c r="D39" s="5" t="inlineStr">
        <is>
          <t>Keyboard Wrist Rest</t>
        </is>
      </c>
      <c r="E39" s="6" t="n">
        <v>3</v>
      </c>
      <c r="F39" s="6" t="n">
        <v>22.99</v>
      </c>
      <c r="G39" s="6" t="n">
        <v>68.97</v>
      </c>
      <c r="H39" s="8" t="n"/>
      <c r="I39" s="8" t="n"/>
    </row>
    <row r="40">
      <c r="A40" s="9" t="n"/>
      <c r="B40" s="9" t="n"/>
      <c r="C40" s="9" t="n"/>
      <c r="D40" s="5" t="inlineStr">
        <is>
          <t>Laptop Sleeve</t>
        </is>
      </c>
      <c r="E40" s="6" t="n">
        <v>3</v>
      </c>
      <c r="F40" s="6" t="n">
        <v>24.99</v>
      </c>
      <c r="G40" s="6" t="n">
        <v>74.97</v>
      </c>
      <c r="H40" s="9" t="n"/>
      <c r="I40" s="9" t="n"/>
    </row>
    <row r="41">
      <c r="A41" s="40" t="inlineStr">
        <is>
          <t>ORD-508</t>
        </is>
      </c>
      <c r="B41" s="41" t="inlineStr">
        <is>
          <t>Meera Pillai</t>
        </is>
      </c>
      <c r="C41" s="42" t="inlineStr">
        <is>
          <t>Cancelled</t>
        </is>
      </c>
      <c r="D41" s="43" t="inlineStr">
        <is>
          <t>Cable Organizer</t>
        </is>
      </c>
      <c r="E41" s="44" t="n">
        <v>2</v>
      </c>
      <c r="F41" s="44" t="n">
        <v>9.99</v>
      </c>
      <c r="G41" s="44" t="n">
        <v>19.98</v>
      </c>
      <c r="H41" s="40" t="n">
        <v>142.96</v>
      </c>
      <c r="I41" s="45" t="inlineStr">
        <is>
          <t>2026-04-16</t>
        </is>
      </c>
    </row>
    <row r="42">
      <c r="A42" s="8" t="n"/>
      <c r="B42" s="8" t="n"/>
      <c r="C42" s="8" t="n"/>
      <c r="D42" s="43" t="inlineStr">
        <is>
          <t>Screen Cleaner Kit</t>
        </is>
      </c>
      <c r="E42" s="44" t="n">
        <v>1</v>
      </c>
      <c r="F42" s="44" t="n">
        <v>12.99</v>
      </c>
      <c r="G42" s="44" t="n">
        <v>12.99</v>
      </c>
      <c r="H42" s="8" t="n"/>
      <c r="I42" s="8" t="n"/>
    </row>
    <row r="43">
      <c r="A43" s="9" t="n"/>
      <c r="B43" s="9" t="n"/>
      <c r="C43" s="9" t="n"/>
      <c r="D43" s="43" t="inlineStr">
        <is>
          <t>External SSD 1TB</t>
        </is>
      </c>
      <c r="E43" s="44" t="n">
        <v>1</v>
      </c>
      <c r="F43" s="44" t="n">
        <v>109.99</v>
      </c>
      <c r="G43" s="44" t="n">
        <v>109.99</v>
      </c>
      <c r="H43" s="9" t="n"/>
      <c r="I43" s="9" t="n"/>
    </row>
    <row r="44">
      <c r="A44" s="10" t="inlineStr">
        <is>
          <t>ORD-121</t>
        </is>
      </c>
      <c r="B44" s="11" t="inlineStr">
        <is>
          <t>Meera Patel</t>
        </is>
      </c>
      <c r="C44" s="12" t="inlineStr">
        <is>
          <t>Delivered</t>
        </is>
      </c>
      <c r="D44" s="11" t="inlineStr">
        <is>
          <t>Drawing Tablet</t>
        </is>
      </c>
      <c r="E44" s="13" t="n">
        <v>1</v>
      </c>
      <c r="F44" s="13" t="n">
        <v>199.99</v>
      </c>
      <c r="G44" s="13" t="n">
        <v>199.99</v>
      </c>
      <c r="H44" s="14" t="n">
        <v>199.99</v>
      </c>
      <c r="I44" s="15" t="inlineStr">
        <is>
          <t>2026-04-02</t>
        </is>
      </c>
    </row>
    <row r="45">
      <c r="A45" s="16" t="inlineStr">
        <is>
          <t>ORD-334</t>
        </is>
      </c>
      <c r="B45" s="5" t="inlineStr">
        <is>
          <t>Sanjay Gupta</t>
        </is>
      </c>
      <c r="C45" s="17" t="inlineStr">
        <is>
          <t>Shipped</t>
        </is>
      </c>
      <c r="D45" s="5" t="inlineStr">
        <is>
          <t>Phone Stand</t>
        </is>
      </c>
      <c r="E45" s="6" t="n">
        <v>1</v>
      </c>
      <c r="F45" s="6" t="n">
        <v>14.99</v>
      </c>
      <c r="G45" s="6" t="n">
        <v>14.99</v>
      </c>
      <c r="H45" s="18" t="n">
        <v>14.99</v>
      </c>
      <c r="I45" s="19" t="inlineStr">
        <is>
          <t>2026-05-04</t>
        </is>
      </c>
    </row>
    <row r="46">
      <c r="A46" s="26" t="inlineStr">
        <is>
          <t>ORD-785</t>
        </is>
      </c>
      <c r="B46" s="27" t="inlineStr">
        <is>
          <t>Ravi Nair</t>
        </is>
      </c>
      <c r="C46" s="28" t="inlineStr">
        <is>
          <t>Delivered</t>
        </is>
      </c>
      <c r="D46" s="11" t="inlineStr">
        <is>
          <t>Webcam 1080p</t>
        </is>
      </c>
      <c r="E46" s="13" t="n">
        <v>1</v>
      </c>
      <c r="F46" s="13" t="n">
        <v>79.98999999999999</v>
      </c>
      <c r="G46" s="13" t="n">
        <v>79.98999999999999</v>
      </c>
      <c r="H46" s="26" t="n">
        <v>515.95</v>
      </c>
      <c r="I46" s="29" t="inlineStr">
        <is>
          <t>2026-04-14</t>
        </is>
      </c>
    </row>
    <row r="47">
      <c r="A47" s="8" t="n"/>
      <c r="B47" s="8" t="n"/>
      <c r="C47" s="8" t="n"/>
      <c r="D47" s="11" t="inlineStr">
        <is>
          <t>Drawing Tablet</t>
        </is>
      </c>
      <c r="E47" s="13" t="n">
        <v>2</v>
      </c>
      <c r="F47" s="13" t="n">
        <v>199.99</v>
      </c>
      <c r="G47" s="13" t="n">
        <v>399.98</v>
      </c>
      <c r="H47" s="8" t="n"/>
      <c r="I47" s="8" t="n"/>
    </row>
    <row r="48">
      <c r="A48" s="9" t="n"/>
      <c r="B48" s="9" t="n"/>
      <c r="C48" s="9" t="n"/>
      <c r="D48" s="11" t="inlineStr">
        <is>
          <t>Smart Plug</t>
        </is>
      </c>
      <c r="E48" s="13" t="n">
        <v>2</v>
      </c>
      <c r="F48" s="13" t="n">
        <v>17.99</v>
      </c>
      <c r="G48" s="13" t="n">
        <v>35.98</v>
      </c>
      <c r="H48" s="9" t="n"/>
      <c r="I48" s="9" t="n"/>
    </row>
    <row r="49">
      <c r="A49" s="26" t="inlineStr">
        <is>
          <t>ORD-774</t>
        </is>
      </c>
      <c r="B49" s="27" t="inlineStr">
        <is>
          <t>Shreya Nair</t>
        </is>
      </c>
      <c r="C49" s="28" t="inlineStr">
        <is>
          <t>Delivered</t>
        </is>
      </c>
      <c r="D49" s="11" t="inlineStr">
        <is>
          <t>Keyboard Wrist Rest</t>
        </is>
      </c>
      <c r="E49" s="13" t="n">
        <v>3</v>
      </c>
      <c r="F49" s="13" t="n">
        <v>22.99</v>
      </c>
      <c r="G49" s="13" t="n">
        <v>68.97</v>
      </c>
      <c r="H49" s="26" t="n">
        <v>81.95999999999999</v>
      </c>
      <c r="I49" s="29" t="inlineStr">
        <is>
          <t>2026-05-15</t>
        </is>
      </c>
    </row>
    <row r="50">
      <c r="A50" s="9" t="n"/>
      <c r="B50" s="9" t="n"/>
      <c r="C50" s="9" t="n"/>
      <c r="D50" s="11" t="inlineStr">
        <is>
          <t>Screen Cleaner Kit</t>
        </is>
      </c>
      <c r="E50" s="13" t="n">
        <v>1</v>
      </c>
      <c r="F50" s="13" t="n">
        <v>12.99</v>
      </c>
      <c r="G50" s="13" t="n">
        <v>12.99</v>
      </c>
      <c r="H50" s="9" t="n"/>
      <c r="I50" s="9" t="n"/>
    </row>
    <row r="51">
      <c r="A51" s="26" t="inlineStr">
        <is>
          <t>ORD-162</t>
        </is>
      </c>
      <c r="B51" s="27" t="inlineStr">
        <is>
          <t>Sneha Reddy</t>
        </is>
      </c>
      <c r="C51" s="28" t="inlineStr">
        <is>
          <t>Delivered</t>
        </is>
      </c>
      <c r="D51" s="11" t="inlineStr">
        <is>
          <t>USB-C Hub</t>
        </is>
      </c>
      <c r="E51" s="13" t="n">
        <v>1</v>
      </c>
      <c r="F51" s="13" t="n">
        <v>45.99</v>
      </c>
      <c r="G51" s="13" t="n">
        <v>45.99</v>
      </c>
      <c r="H51" s="26" t="n">
        <v>85.98</v>
      </c>
      <c r="I51" s="29" t="inlineStr">
        <is>
          <t>2026-05-06</t>
        </is>
      </c>
    </row>
    <row r="52">
      <c r="A52" s="9" t="n"/>
      <c r="B52" s="9" t="n"/>
      <c r="C52" s="9" t="n"/>
      <c r="D52" s="11" t="inlineStr">
        <is>
          <t>Portable Charger</t>
        </is>
      </c>
      <c r="E52" s="13" t="n">
        <v>1</v>
      </c>
      <c r="F52" s="13" t="n">
        <v>39.99</v>
      </c>
      <c r="G52" s="13" t="n">
        <v>39.99</v>
      </c>
      <c r="H52" s="9" t="n"/>
      <c r="I52" s="9" t="n"/>
    </row>
    <row r="53">
      <c r="A53" s="2" t="inlineStr">
        <is>
          <t>ORD-532</t>
        </is>
      </c>
      <c r="B53" s="3" t="inlineStr">
        <is>
          <t>Arjun Agarwal</t>
        </is>
      </c>
      <c r="C53" s="4" t="inlineStr">
        <is>
          <t>Shipped</t>
        </is>
      </c>
      <c r="D53" s="5" t="inlineStr">
        <is>
          <t>Portable Charger</t>
        </is>
      </c>
      <c r="E53" s="6" t="n">
        <v>2</v>
      </c>
      <c r="F53" s="6" t="n">
        <v>39.99</v>
      </c>
      <c r="G53" s="6" t="n">
        <v>79.98</v>
      </c>
      <c r="H53" s="2" t="n">
        <v>139.95</v>
      </c>
      <c r="I53" s="7" t="inlineStr">
        <is>
          <t>2026-04-08</t>
        </is>
      </c>
    </row>
    <row r="54">
      <c r="A54" s="9" t="n"/>
      <c r="B54" s="9" t="n"/>
      <c r="C54" s="9" t="n"/>
      <c r="D54" s="5" t="inlineStr">
        <is>
          <t>Mouse Pad</t>
        </is>
      </c>
      <c r="E54" s="6" t="n">
        <v>3</v>
      </c>
      <c r="F54" s="6" t="n">
        <v>19.99</v>
      </c>
      <c r="G54" s="6" t="n">
        <v>59.97</v>
      </c>
      <c r="H54" s="9" t="n"/>
      <c r="I54" s="9" t="n"/>
    </row>
    <row r="55">
      <c r="A55" s="16" t="inlineStr">
        <is>
          <t>ORD-956</t>
        </is>
      </c>
      <c r="B55" s="5" t="inlineStr">
        <is>
          <t>Karan Shah</t>
        </is>
      </c>
      <c r="C55" s="17" t="inlineStr">
        <is>
          <t>Shipped</t>
        </is>
      </c>
      <c r="D55" s="5" t="inlineStr">
        <is>
          <t>Portable Charger</t>
        </is>
      </c>
      <c r="E55" s="6" t="n">
        <v>1</v>
      </c>
      <c r="F55" s="6" t="n">
        <v>39.99</v>
      </c>
      <c r="G55" s="6" t="n">
        <v>39.99</v>
      </c>
      <c r="H55" s="18" t="n">
        <v>39.99</v>
      </c>
      <c r="I55" s="19" t="inlineStr">
        <is>
          <t>2026-04-28</t>
        </is>
      </c>
    </row>
    <row r="56">
      <c r="A56" s="20" t="inlineStr">
        <is>
          <t>ORD-318</t>
        </is>
      </c>
      <c r="B56" s="21" t="inlineStr">
        <is>
          <t>Pooja Gupta</t>
        </is>
      </c>
      <c r="C56" s="22" t="inlineStr">
        <is>
          <t>Delayed</t>
        </is>
      </c>
      <c r="D56" s="21" t="inlineStr">
        <is>
          <t>Monitor Stand</t>
        </is>
      </c>
      <c r="E56" s="23" t="n">
        <v>2</v>
      </c>
      <c r="F56" s="23" t="n">
        <v>35</v>
      </c>
      <c r="G56" s="23" t="n">
        <v>70</v>
      </c>
      <c r="H56" s="24" t="n">
        <v>70</v>
      </c>
      <c r="I56" s="25" t="inlineStr">
        <is>
          <t>2026-04-02</t>
        </is>
      </c>
    </row>
    <row r="57">
      <c r="A57" s="30" t="inlineStr">
        <is>
          <t>ORD-902</t>
        </is>
      </c>
      <c r="B57" s="31" t="inlineStr">
        <is>
          <t>Ananya Singh</t>
        </is>
      </c>
      <c r="C57" s="32" t="inlineStr">
        <is>
          <t>Pending</t>
        </is>
      </c>
      <c r="D57" s="33" t="inlineStr">
        <is>
          <t>Keyboard Wrist Rest</t>
        </is>
      </c>
      <c r="E57" s="34" t="n">
        <v>3</v>
      </c>
      <c r="F57" s="34" t="n">
        <v>22.99</v>
      </c>
      <c r="G57" s="34" t="n">
        <v>68.97</v>
      </c>
      <c r="H57" s="30" t="n">
        <v>458.94</v>
      </c>
      <c r="I57" s="35" t="inlineStr">
        <is>
          <t>2026-05-03</t>
        </is>
      </c>
    </row>
    <row r="58">
      <c r="A58" s="9" t="n"/>
      <c r="B58" s="9" t="n"/>
      <c r="C58" s="9" t="n"/>
      <c r="D58" s="33" t="inlineStr">
        <is>
          <t>Noise Cancelling Earbuds</t>
        </is>
      </c>
      <c r="E58" s="34" t="n">
        <v>3</v>
      </c>
      <c r="F58" s="34" t="n">
        <v>129.99</v>
      </c>
      <c r="G58" s="34" t="n">
        <v>389.97</v>
      </c>
      <c r="H58" s="9" t="n"/>
      <c r="I58" s="9" t="n"/>
    </row>
    <row r="59">
      <c r="A59" s="16" t="inlineStr">
        <is>
          <t>ORD-403</t>
        </is>
      </c>
      <c r="B59" s="5" t="inlineStr">
        <is>
          <t>Arjun Pillai</t>
        </is>
      </c>
      <c r="C59" s="17" t="inlineStr">
        <is>
          <t>Shipped</t>
        </is>
      </c>
      <c r="D59" s="5" t="inlineStr">
        <is>
          <t>Drawing Tablet</t>
        </is>
      </c>
      <c r="E59" s="6" t="n">
        <v>3</v>
      </c>
      <c r="F59" s="6" t="n">
        <v>199.99</v>
      </c>
      <c r="G59" s="6" t="n">
        <v>599.97</v>
      </c>
      <c r="H59" s="18" t="n">
        <v>599.97</v>
      </c>
      <c r="I59" s="19" t="inlineStr">
        <is>
          <t>2026-05-06</t>
        </is>
      </c>
    </row>
    <row r="60">
      <c r="A60" s="2" t="inlineStr">
        <is>
          <t>ORD-158</t>
        </is>
      </c>
      <c r="B60" s="3" t="inlineStr">
        <is>
          <t>Meera Kumar</t>
        </is>
      </c>
      <c r="C60" s="4" t="inlineStr">
        <is>
          <t>Shipped</t>
        </is>
      </c>
      <c r="D60" s="5" t="inlineStr">
        <is>
          <t>External SSD 1TB</t>
        </is>
      </c>
      <c r="E60" s="6" t="n">
        <v>1</v>
      </c>
      <c r="F60" s="6" t="n">
        <v>109.99</v>
      </c>
      <c r="G60" s="6" t="n">
        <v>109.99</v>
      </c>
      <c r="H60" s="2" t="n">
        <v>144.98</v>
      </c>
      <c r="I60" s="7" t="inlineStr">
        <is>
          <t>2026-05-04</t>
        </is>
      </c>
    </row>
    <row r="61">
      <c r="A61" s="9" t="n"/>
      <c r="B61" s="9" t="n"/>
      <c r="C61" s="9" t="n"/>
      <c r="D61" s="5" t="inlineStr">
        <is>
          <t>LED Desk Fan</t>
        </is>
      </c>
      <c r="E61" s="6" t="n">
        <v>1</v>
      </c>
      <c r="F61" s="6" t="n">
        <v>34.99</v>
      </c>
      <c r="G61" s="6" t="n">
        <v>34.99</v>
      </c>
      <c r="H61" s="9" t="n"/>
      <c r="I61" s="9" t="n"/>
    </row>
    <row r="62">
      <c r="A62" s="26" t="inlineStr">
        <is>
          <t>ORD-170</t>
        </is>
      </c>
      <c r="B62" s="27" t="inlineStr">
        <is>
          <t>Arjun Mishra</t>
        </is>
      </c>
      <c r="C62" s="28" t="inlineStr">
        <is>
          <t>Delivered</t>
        </is>
      </c>
      <c r="D62" s="11" t="inlineStr">
        <is>
          <t>Portable Charger</t>
        </is>
      </c>
      <c r="E62" s="13" t="n">
        <v>3</v>
      </c>
      <c r="F62" s="13" t="n">
        <v>39.99</v>
      </c>
      <c r="G62" s="13" t="n">
        <v>119.97</v>
      </c>
      <c r="H62" s="26" t="n">
        <v>307.93</v>
      </c>
      <c r="I62" s="29" t="inlineStr">
        <is>
          <t>2026-05-10</t>
        </is>
      </c>
    </row>
    <row r="63">
      <c r="A63" s="8" t="n"/>
      <c r="B63" s="8" t="n"/>
      <c r="C63" s="8" t="n"/>
      <c r="D63" s="11" t="inlineStr">
        <is>
          <t>Ergonomic Mouse</t>
        </is>
      </c>
      <c r="E63" s="13" t="n">
        <v>1</v>
      </c>
      <c r="F63" s="13" t="n">
        <v>49.99</v>
      </c>
      <c r="G63" s="13" t="n">
        <v>49.99</v>
      </c>
      <c r="H63" s="8" t="n"/>
      <c r="I63" s="8" t="n"/>
    </row>
    <row r="64">
      <c r="A64" s="9" t="n"/>
      <c r="B64" s="9" t="n"/>
      <c r="C64" s="9" t="n"/>
      <c r="D64" s="11" t="inlineStr">
        <is>
          <t>USB-C Hub</t>
        </is>
      </c>
      <c r="E64" s="13" t="n">
        <v>3</v>
      </c>
      <c r="F64" s="13" t="n">
        <v>45.99</v>
      </c>
      <c r="G64" s="13" t="n">
        <v>137.97</v>
      </c>
      <c r="H64" s="9" t="n"/>
      <c r="I64" s="9" t="n"/>
    </row>
    <row r="65">
      <c r="A65" s="26" t="inlineStr">
        <is>
          <t>ORD-183</t>
        </is>
      </c>
      <c r="B65" s="27" t="inlineStr">
        <is>
          <t>Sanjay Gupta</t>
        </is>
      </c>
      <c r="C65" s="28" t="inlineStr">
        <is>
          <t>Delivered</t>
        </is>
      </c>
      <c r="D65" s="11" t="inlineStr">
        <is>
          <t>Drawing Tablet</t>
        </is>
      </c>
      <c r="E65" s="13" t="n">
        <v>2</v>
      </c>
      <c r="F65" s="13" t="n">
        <v>199.99</v>
      </c>
      <c r="G65" s="13" t="n">
        <v>399.98</v>
      </c>
      <c r="H65" s="26" t="n">
        <v>554.9400000000001</v>
      </c>
      <c r="I65" s="29" t="inlineStr">
        <is>
          <t>2026-04-22</t>
        </is>
      </c>
    </row>
    <row r="66">
      <c r="A66" s="8" t="n"/>
      <c r="B66" s="8" t="n"/>
      <c r="C66" s="8" t="n"/>
      <c r="D66" s="11" t="inlineStr">
        <is>
          <t>External SSD 1TB</t>
        </is>
      </c>
      <c r="E66" s="13" t="n">
        <v>1</v>
      </c>
      <c r="F66" s="13" t="n">
        <v>109.99</v>
      </c>
      <c r="G66" s="13" t="n">
        <v>109.99</v>
      </c>
      <c r="H66" s="8" t="n"/>
      <c r="I66" s="8" t="n"/>
    </row>
    <row r="67">
      <c r="A67" s="9" t="n"/>
      <c r="B67" s="9" t="n"/>
      <c r="C67" s="9" t="n"/>
      <c r="D67" s="11" t="inlineStr">
        <is>
          <t>Phone Stand</t>
        </is>
      </c>
      <c r="E67" s="13" t="n">
        <v>3</v>
      </c>
      <c r="F67" s="13" t="n">
        <v>14.99</v>
      </c>
      <c r="G67" s="13" t="n">
        <v>44.97</v>
      </c>
      <c r="H67" s="9" t="n"/>
      <c r="I67" s="9" t="n"/>
    </row>
    <row r="68">
      <c r="A68" s="2" t="inlineStr">
        <is>
          <t>ORD-505</t>
        </is>
      </c>
      <c r="B68" s="3" t="inlineStr">
        <is>
          <t>Lakshmi Nair</t>
        </is>
      </c>
      <c r="C68" s="4" t="inlineStr">
        <is>
          <t>Shipped</t>
        </is>
      </c>
      <c r="D68" s="5" t="inlineStr">
        <is>
          <t>Bluetooth Speaker</t>
        </is>
      </c>
      <c r="E68" s="6" t="n">
        <v>1</v>
      </c>
      <c r="F68" s="6" t="n">
        <v>59.99</v>
      </c>
      <c r="G68" s="6" t="n">
        <v>59.99</v>
      </c>
      <c r="H68" s="2" t="n">
        <v>102.96</v>
      </c>
      <c r="I68" s="7" t="inlineStr">
        <is>
          <t>2026-05-11</t>
        </is>
      </c>
    </row>
    <row r="69">
      <c r="A69" s="8" t="n"/>
      <c r="B69" s="8" t="n"/>
      <c r="C69" s="8" t="n"/>
      <c r="D69" s="5" t="inlineStr">
        <is>
          <t>Screen Cleaner Kit</t>
        </is>
      </c>
      <c r="E69" s="6" t="n">
        <v>1</v>
      </c>
      <c r="F69" s="6" t="n">
        <v>12.99</v>
      </c>
      <c r="G69" s="6" t="n">
        <v>12.99</v>
      </c>
      <c r="H69" s="8" t="n"/>
      <c r="I69" s="8" t="n"/>
    </row>
    <row r="70">
      <c r="A70" s="9" t="n"/>
      <c r="B70" s="9" t="n"/>
      <c r="C70" s="9" t="n"/>
      <c r="D70" s="5" t="inlineStr">
        <is>
          <t>Phone Stand</t>
        </is>
      </c>
      <c r="E70" s="6" t="n">
        <v>2</v>
      </c>
      <c r="F70" s="6" t="n">
        <v>14.99</v>
      </c>
      <c r="G70" s="6" t="n">
        <v>29.98</v>
      </c>
      <c r="H70" s="9" t="n"/>
      <c r="I70" s="9" t="n"/>
    </row>
    <row r="71">
      <c r="A71" s="26" t="inlineStr">
        <is>
          <t>ORD-175</t>
        </is>
      </c>
      <c r="B71" s="27" t="inlineStr">
        <is>
          <t>Vikram Desai</t>
        </is>
      </c>
      <c r="C71" s="28" t="inlineStr">
        <is>
          <t>Delivered</t>
        </is>
      </c>
      <c r="D71" s="11" t="inlineStr">
        <is>
          <t>Desk Lamp</t>
        </is>
      </c>
      <c r="E71" s="13" t="n">
        <v>1</v>
      </c>
      <c r="F71" s="13" t="n">
        <v>29.99</v>
      </c>
      <c r="G71" s="13" t="n">
        <v>29.99</v>
      </c>
      <c r="H71" s="26" t="n">
        <v>129.96</v>
      </c>
      <c r="I71" s="29" t="inlineStr">
        <is>
          <t>2026-04-20</t>
        </is>
      </c>
    </row>
    <row r="72">
      <c r="A72" s="8" t="n"/>
      <c r="B72" s="8" t="n"/>
      <c r="C72" s="8" t="n"/>
      <c r="D72" s="11" t="inlineStr">
        <is>
          <t>Webcam 1080p</t>
        </is>
      </c>
      <c r="E72" s="13" t="n">
        <v>1</v>
      </c>
      <c r="F72" s="13" t="n">
        <v>79.98999999999999</v>
      </c>
      <c r="G72" s="13" t="n">
        <v>79.98999999999999</v>
      </c>
      <c r="H72" s="8" t="n"/>
      <c r="I72" s="8" t="n"/>
    </row>
    <row r="73">
      <c r="A73" s="9" t="n"/>
      <c r="B73" s="9" t="n"/>
      <c r="C73" s="9" t="n"/>
      <c r="D73" s="11" t="inlineStr">
        <is>
          <t>Cable Organizer</t>
        </is>
      </c>
      <c r="E73" s="13" t="n">
        <v>2</v>
      </c>
      <c r="F73" s="13" t="n">
        <v>9.99</v>
      </c>
      <c r="G73" s="13" t="n">
        <v>19.98</v>
      </c>
      <c r="H73" s="9" t="n"/>
      <c r="I73" s="9" t="n"/>
    </row>
    <row r="74">
      <c r="A74" s="26" t="inlineStr">
        <is>
          <t>ORD-953</t>
        </is>
      </c>
      <c r="B74" s="27" t="inlineStr">
        <is>
          <t>Rohan Nair</t>
        </is>
      </c>
      <c r="C74" s="28" t="inlineStr">
        <is>
          <t>Delivered</t>
        </is>
      </c>
      <c r="D74" s="11" t="inlineStr">
        <is>
          <t>LED Desk Fan</t>
        </is>
      </c>
      <c r="E74" s="13" t="n">
        <v>1</v>
      </c>
      <c r="F74" s="13" t="n">
        <v>34.99</v>
      </c>
      <c r="G74" s="13" t="n">
        <v>34.99</v>
      </c>
      <c r="H74" s="26" t="n">
        <v>364.96</v>
      </c>
      <c r="I74" s="29" t="inlineStr">
        <is>
          <t>2026-05-07</t>
        </is>
      </c>
    </row>
    <row r="75">
      <c r="A75" s="9" t="n"/>
      <c r="B75" s="9" t="n"/>
      <c r="C75" s="9" t="n"/>
      <c r="D75" s="11" t="inlineStr">
        <is>
          <t>External SSD 1TB</t>
        </is>
      </c>
      <c r="E75" s="13" t="n">
        <v>3</v>
      </c>
      <c r="F75" s="13" t="n">
        <v>109.99</v>
      </c>
      <c r="G75" s="13" t="n">
        <v>329.97</v>
      </c>
      <c r="H75" s="9" t="n"/>
      <c r="I75" s="9" t="n"/>
    </row>
    <row r="76">
      <c r="A76" s="16" t="inlineStr">
        <is>
          <t>ORD-999</t>
        </is>
      </c>
      <c r="B76" s="5" t="inlineStr">
        <is>
          <t>Ananya Gupta</t>
        </is>
      </c>
      <c r="C76" s="17" t="inlineStr">
        <is>
          <t>Shipped</t>
        </is>
      </c>
      <c r="D76" s="5" t="inlineStr">
        <is>
          <t>USB-C Hub</t>
        </is>
      </c>
      <c r="E76" s="6" t="n">
        <v>3</v>
      </c>
      <c r="F76" s="6" t="n">
        <v>45.99</v>
      </c>
      <c r="G76" s="6" t="n">
        <v>137.97</v>
      </c>
      <c r="H76" s="18" t="n">
        <v>137.97</v>
      </c>
      <c r="I76" s="19" t="inlineStr">
        <is>
          <t>2026-05-07</t>
        </is>
      </c>
    </row>
    <row r="77">
      <c r="A77" s="26" t="inlineStr">
        <is>
          <t>ORD-388</t>
        </is>
      </c>
      <c r="B77" s="27" t="inlineStr">
        <is>
          <t>Meera Verma</t>
        </is>
      </c>
      <c r="C77" s="28" t="inlineStr">
        <is>
          <t>Delivered</t>
        </is>
      </c>
      <c r="D77" s="11" t="inlineStr">
        <is>
          <t>Phone Stand</t>
        </is>
      </c>
      <c r="E77" s="13" t="n">
        <v>3</v>
      </c>
      <c r="F77" s="13" t="n">
        <v>14.99</v>
      </c>
      <c r="G77" s="13" t="n">
        <v>44.97</v>
      </c>
      <c r="H77" s="26" t="n">
        <v>154.93</v>
      </c>
      <c r="I77" s="29" t="inlineStr">
        <is>
          <t>2026-04-05</t>
        </is>
      </c>
    </row>
    <row r="78">
      <c r="A78" s="8" t="n"/>
      <c r="B78" s="8" t="n"/>
      <c r="C78" s="8" t="n"/>
      <c r="D78" s="11" t="inlineStr">
        <is>
          <t>Laptop Sleeve</t>
        </is>
      </c>
      <c r="E78" s="13" t="n">
        <v>2</v>
      </c>
      <c r="F78" s="13" t="n">
        <v>24.99</v>
      </c>
      <c r="G78" s="13" t="n">
        <v>49.98</v>
      </c>
      <c r="H78" s="8" t="n"/>
      <c r="I78" s="8" t="n"/>
    </row>
    <row r="79">
      <c r="A79" s="9" t="n"/>
      <c r="B79" s="9" t="n"/>
      <c r="C79" s="9" t="n"/>
      <c r="D79" s="11" t="inlineStr">
        <is>
          <t>Desk Lamp</t>
        </is>
      </c>
      <c r="E79" s="13" t="n">
        <v>2</v>
      </c>
      <c r="F79" s="13" t="n">
        <v>29.99</v>
      </c>
      <c r="G79" s="13" t="n">
        <v>59.98</v>
      </c>
      <c r="H79" s="9" t="n"/>
      <c r="I79" s="9" t="n"/>
    </row>
    <row r="80">
      <c r="A80" s="16" t="inlineStr">
        <is>
          <t>ORD-949</t>
        </is>
      </c>
      <c r="B80" s="5" t="inlineStr">
        <is>
          <t>Kavya Kumar</t>
        </is>
      </c>
      <c r="C80" s="17" t="inlineStr">
        <is>
          <t>Shipped</t>
        </is>
      </c>
      <c r="D80" s="5" t="inlineStr">
        <is>
          <t>Phone Stand</t>
        </is>
      </c>
      <c r="E80" s="6" t="n">
        <v>1</v>
      </c>
      <c r="F80" s="6" t="n">
        <v>14.99</v>
      </c>
      <c r="G80" s="6" t="n">
        <v>14.99</v>
      </c>
      <c r="H80" s="18" t="n">
        <v>14.99</v>
      </c>
      <c r="I80" s="19" t="inlineStr">
        <is>
          <t>2026-05-12</t>
        </is>
      </c>
    </row>
    <row r="81">
      <c r="A81" s="26" t="inlineStr">
        <is>
          <t>ORD-859</t>
        </is>
      </c>
      <c r="B81" s="27" t="inlineStr">
        <is>
          <t>Amit Patel</t>
        </is>
      </c>
      <c r="C81" s="28" t="inlineStr">
        <is>
          <t>Delivered</t>
        </is>
      </c>
      <c r="D81" s="11" t="inlineStr">
        <is>
          <t>Keyboard Wrist Rest</t>
        </is>
      </c>
      <c r="E81" s="13" t="n">
        <v>1</v>
      </c>
      <c r="F81" s="13" t="n">
        <v>22.99</v>
      </c>
      <c r="G81" s="13" t="n">
        <v>22.99</v>
      </c>
      <c r="H81" s="26" t="n">
        <v>422.95</v>
      </c>
      <c r="I81" s="29" t="inlineStr">
        <is>
          <t>2026-04-11</t>
        </is>
      </c>
    </row>
    <row r="82">
      <c r="A82" s="8" t="n"/>
      <c r="B82" s="8" t="n"/>
      <c r="C82" s="8" t="n"/>
      <c r="D82" s="11" t="inlineStr">
        <is>
          <t>Noise Cancelling Earbuds</t>
        </is>
      </c>
      <c r="E82" s="13" t="n">
        <v>1</v>
      </c>
      <c r="F82" s="13" t="n">
        <v>129.99</v>
      </c>
      <c r="G82" s="13" t="n">
        <v>129.99</v>
      </c>
      <c r="H82" s="8" t="n"/>
      <c r="I82" s="8" t="n"/>
    </row>
    <row r="83">
      <c r="A83" s="9" t="n"/>
      <c r="B83" s="9" t="n"/>
      <c r="C83" s="9" t="n"/>
      <c r="D83" s="11" t="inlineStr">
        <is>
          <t>Wireless Headphones</t>
        </is>
      </c>
      <c r="E83" s="13" t="n">
        <v>3</v>
      </c>
      <c r="F83" s="13" t="n">
        <v>89.98999999999999</v>
      </c>
      <c r="G83" s="13" t="n">
        <v>269.97</v>
      </c>
      <c r="H83" s="9" t="n"/>
      <c r="I83" s="9" t="n"/>
    </row>
    <row r="84">
      <c r="A84" s="26" t="inlineStr">
        <is>
          <t>ORD-954</t>
        </is>
      </c>
      <c r="B84" s="27" t="inlineStr">
        <is>
          <t>Pallavi Rao</t>
        </is>
      </c>
      <c r="C84" s="28" t="inlineStr">
        <is>
          <t>Delivered</t>
        </is>
      </c>
      <c r="D84" s="11" t="inlineStr">
        <is>
          <t>Webcam 1080p</t>
        </is>
      </c>
      <c r="E84" s="13" t="n">
        <v>1</v>
      </c>
      <c r="F84" s="13" t="n">
        <v>79.98999999999999</v>
      </c>
      <c r="G84" s="13" t="n">
        <v>79.98999999999999</v>
      </c>
      <c r="H84" s="26" t="n">
        <v>195.95</v>
      </c>
      <c r="I84" s="29" t="inlineStr">
        <is>
          <t>2026-04-04</t>
        </is>
      </c>
    </row>
    <row r="85">
      <c r="A85" s="8" t="n"/>
      <c r="B85" s="8" t="n"/>
      <c r="C85" s="8" t="n"/>
      <c r="D85" s="11" t="inlineStr">
        <is>
          <t>Keyboard Wrist Rest</t>
        </is>
      </c>
      <c r="E85" s="13" t="n">
        <v>2</v>
      </c>
      <c r="F85" s="13" t="n">
        <v>22.99</v>
      </c>
      <c r="G85" s="13" t="n">
        <v>45.98</v>
      </c>
      <c r="H85" s="8" t="n"/>
      <c r="I85" s="8" t="n"/>
    </row>
    <row r="86">
      <c r="A86" s="9" t="n"/>
      <c r="B86" s="9" t="n"/>
      <c r="C86" s="9" t="n"/>
      <c r="D86" s="11" t="inlineStr">
        <is>
          <t>LED Desk Fan</t>
        </is>
      </c>
      <c r="E86" s="13" t="n">
        <v>2</v>
      </c>
      <c r="F86" s="13" t="n">
        <v>34.99</v>
      </c>
      <c r="G86" s="13" t="n">
        <v>69.98</v>
      </c>
      <c r="H86" s="9" t="n"/>
      <c r="I86" s="9" t="n"/>
    </row>
    <row r="87">
      <c r="A87" s="30" t="inlineStr">
        <is>
          <t>ORD-315</t>
        </is>
      </c>
      <c r="B87" s="31" t="inlineStr">
        <is>
          <t>Ajay Mehta</t>
        </is>
      </c>
      <c r="C87" s="32" t="inlineStr">
        <is>
          <t>Pending</t>
        </is>
      </c>
      <c r="D87" s="33" t="inlineStr">
        <is>
          <t>USB-C Hub</t>
        </is>
      </c>
      <c r="E87" s="34" t="n">
        <v>2</v>
      </c>
      <c r="F87" s="34" t="n">
        <v>45.99</v>
      </c>
      <c r="G87" s="34" t="n">
        <v>91.98</v>
      </c>
      <c r="H87" s="30" t="n">
        <v>511.92</v>
      </c>
      <c r="I87" s="35" t="inlineStr">
        <is>
          <t>2026-04-11</t>
        </is>
      </c>
    </row>
    <row r="88">
      <c r="A88" s="8" t="n"/>
      <c r="B88" s="8" t="n"/>
      <c r="C88" s="8" t="n"/>
      <c r="D88" s="33" t="inlineStr">
        <is>
          <t>Cable Organizer</t>
        </is>
      </c>
      <c r="E88" s="34" t="n">
        <v>3</v>
      </c>
      <c r="F88" s="34" t="n">
        <v>9.99</v>
      </c>
      <c r="G88" s="34" t="n">
        <v>29.97</v>
      </c>
      <c r="H88" s="8" t="n"/>
      <c r="I88" s="8" t="n"/>
    </row>
    <row r="89">
      <c r="A89" s="9" t="n"/>
      <c r="B89" s="9" t="n"/>
      <c r="C89" s="9" t="n"/>
      <c r="D89" s="33" t="inlineStr">
        <is>
          <t>Noise Cancelling Earbuds</t>
        </is>
      </c>
      <c r="E89" s="34" t="n">
        <v>3</v>
      </c>
      <c r="F89" s="34" t="n">
        <v>129.99</v>
      </c>
      <c r="G89" s="34" t="n">
        <v>389.97</v>
      </c>
      <c r="H89" s="9" t="n"/>
      <c r="I89" s="9" t="n"/>
    </row>
    <row r="90">
      <c r="A90" s="16" t="inlineStr">
        <is>
          <t>ORD-985</t>
        </is>
      </c>
      <c r="B90" s="5" t="inlineStr">
        <is>
          <t>Rajesh Pillai</t>
        </is>
      </c>
      <c r="C90" s="17" t="inlineStr">
        <is>
          <t>Shipped</t>
        </is>
      </c>
      <c r="D90" s="5" t="inlineStr">
        <is>
          <t>Keyboard Wrist Rest</t>
        </is>
      </c>
      <c r="E90" s="6" t="n">
        <v>1</v>
      </c>
      <c r="F90" s="6" t="n">
        <v>22.99</v>
      </c>
      <c r="G90" s="6" t="n">
        <v>22.99</v>
      </c>
      <c r="H90" s="18" t="n">
        <v>22.99</v>
      </c>
      <c r="I90" s="19" t="inlineStr">
        <is>
          <t>2026-04-13</t>
        </is>
      </c>
    </row>
    <row r="91">
      <c r="A91" s="40" t="inlineStr">
        <is>
          <t>ORD-901</t>
        </is>
      </c>
      <c r="B91" s="41" t="inlineStr">
        <is>
          <t>Suresh Shah</t>
        </is>
      </c>
      <c r="C91" s="42" t="inlineStr">
        <is>
          <t>Cancelled</t>
        </is>
      </c>
      <c r="D91" s="43" t="inlineStr">
        <is>
          <t>Portable Charger</t>
        </is>
      </c>
      <c r="E91" s="44" t="n">
        <v>3</v>
      </c>
      <c r="F91" s="44" t="n">
        <v>39.99</v>
      </c>
      <c r="G91" s="44" t="n">
        <v>119.97</v>
      </c>
      <c r="H91" s="40" t="n">
        <v>219.96</v>
      </c>
      <c r="I91" s="45" t="inlineStr">
        <is>
          <t>2026-04-04</t>
        </is>
      </c>
    </row>
    <row r="92">
      <c r="A92" s="8" t="n"/>
      <c r="B92" s="8" t="n"/>
      <c r="C92" s="8" t="n"/>
      <c r="D92" s="43" t="inlineStr">
        <is>
          <t>Desk Lamp</t>
        </is>
      </c>
      <c r="E92" s="44" t="n">
        <v>1</v>
      </c>
      <c r="F92" s="44" t="n">
        <v>29.99</v>
      </c>
      <c r="G92" s="44" t="n">
        <v>29.99</v>
      </c>
      <c r="H92" s="8" t="n"/>
      <c r="I92" s="8" t="n"/>
    </row>
    <row r="93">
      <c r="A93" s="9" t="n"/>
      <c r="B93" s="9" t="n"/>
      <c r="C93" s="9" t="n"/>
      <c r="D93" s="43" t="inlineStr">
        <is>
          <t>Monitor Stand</t>
        </is>
      </c>
      <c r="E93" s="44" t="n">
        <v>2</v>
      </c>
      <c r="F93" s="44" t="n">
        <v>35</v>
      </c>
      <c r="G93" s="44" t="n">
        <v>70</v>
      </c>
      <c r="H93" s="9" t="n"/>
      <c r="I93" s="9" t="n"/>
    </row>
    <row r="94">
      <c r="A94" s="2" t="inlineStr">
        <is>
          <t>ORD-327</t>
        </is>
      </c>
      <c r="B94" s="3" t="inlineStr">
        <is>
          <t>Varun Singh</t>
        </is>
      </c>
      <c r="C94" s="4" t="inlineStr">
        <is>
          <t>Shipped</t>
        </is>
      </c>
      <c r="D94" s="5" t="inlineStr">
        <is>
          <t>Cable Organizer</t>
        </is>
      </c>
      <c r="E94" s="6" t="n">
        <v>1</v>
      </c>
      <c r="F94" s="6" t="n">
        <v>9.99</v>
      </c>
      <c r="G94" s="6" t="n">
        <v>9.99</v>
      </c>
      <c r="H94" s="2" t="n">
        <v>69.98</v>
      </c>
      <c r="I94" s="7" t="inlineStr">
        <is>
          <t>2026-04-03</t>
        </is>
      </c>
    </row>
    <row r="95">
      <c r="A95" s="9" t="n"/>
      <c r="B95" s="9" t="n"/>
      <c r="C95" s="9" t="n"/>
      <c r="D95" s="5" t="inlineStr">
        <is>
          <t>Bluetooth Speaker</t>
        </is>
      </c>
      <c r="E95" s="6" t="n">
        <v>1</v>
      </c>
      <c r="F95" s="6" t="n">
        <v>59.99</v>
      </c>
      <c r="G95" s="6" t="n">
        <v>59.99</v>
      </c>
      <c r="H95" s="9" t="n"/>
      <c r="I95" s="9" t="n"/>
    </row>
    <row r="96">
      <c r="A96" s="16" t="inlineStr">
        <is>
          <t>ORD-436</t>
        </is>
      </c>
      <c r="B96" s="5" t="inlineStr">
        <is>
          <t>Divya Bhat</t>
        </is>
      </c>
      <c r="C96" s="17" t="inlineStr">
        <is>
          <t>Shipped</t>
        </is>
      </c>
      <c r="D96" s="5" t="inlineStr">
        <is>
          <t>Desk Lamp</t>
        </is>
      </c>
      <c r="E96" s="6" t="n">
        <v>2</v>
      </c>
      <c r="F96" s="6" t="n">
        <v>29.99</v>
      </c>
      <c r="G96" s="6" t="n">
        <v>59.98</v>
      </c>
      <c r="H96" s="18" t="n">
        <v>59.98</v>
      </c>
      <c r="I96" s="19" t="inlineStr">
        <is>
          <t>2026-05-13</t>
        </is>
      </c>
    </row>
    <row r="97">
      <c r="A97" s="40" t="inlineStr">
        <is>
          <t>ORD-795</t>
        </is>
      </c>
      <c r="B97" s="41" t="inlineStr">
        <is>
          <t>Arjun Nair</t>
        </is>
      </c>
      <c r="C97" s="42" t="inlineStr">
        <is>
          <t>Cancelled</t>
        </is>
      </c>
      <c r="D97" s="43" t="inlineStr">
        <is>
          <t>Phone Stand</t>
        </is>
      </c>
      <c r="E97" s="44" t="n">
        <v>2</v>
      </c>
      <c r="F97" s="44" t="n">
        <v>14.99</v>
      </c>
      <c r="G97" s="44" t="n">
        <v>29.98</v>
      </c>
      <c r="H97" s="40" t="n">
        <v>257.94</v>
      </c>
      <c r="I97" s="45" t="inlineStr">
        <is>
          <t>2026-04-18</t>
        </is>
      </c>
    </row>
    <row r="98">
      <c r="A98" s="8" t="n"/>
      <c r="B98" s="8" t="n"/>
      <c r="C98" s="8" t="n"/>
      <c r="D98" s="43" t="inlineStr">
        <is>
          <t>Wireless Headphones</t>
        </is>
      </c>
      <c r="E98" s="44" t="n">
        <v>1</v>
      </c>
      <c r="F98" s="44" t="n">
        <v>89.98999999999999</v>
      </c>
      <c r="G98" s="44" t="n">
        <v>89.98999999999999</v>
      </c>
      <c r="H98" s="8" t="n"/>
      <c r="I98" s="8" t="n"/>
    </row>
    <row r="99">
      <c r="A99" s="9" t="n"/>
      <c r="B99" s="9" t="n"/>
      <c r="C99" s="9" t="n"/>
      <c r="D99" s="43" t="inlineStr">
        <is>
          <t>USB-C Hub</t>
        </is>
      </c>
      <c r="E99" s="44" t="n">
        <v>3</v>
      </c>
      <c r="F99" s="44" t="n">
        <v>45.99</v>
      </c>
      <c r="G99" s="44" t="n">
        <v>137.97</v>
      </c>
      <c r="H99" s="9" t="n"/>
      <c r="I99" s="9" t="n"/>
    </row>
    <row r="100">
      <c r="A100" s="26" t="inlineStr">
        <is>
          <t>ORD-544</t>
        </is>
      </c>
      <c r="B100" s="27" t="inlineStr">
        <is>
          <t>Deepa Gupta</t>
        </is>
      </c>
      <c r="C100" s="28" t="inlineStr">
        <is>
          <t>Delivered</t>
        </is>
      </c>
      <c r="D100" s="11" t="inlineStr">
        <is>
          <t>Keyboard Wrist Rest</t>
        </is>
      </c>
      <c r="E100" s="13" t="n">
        <v>1</v>
      </c>
      <c r="F100" s="13" t="n">
        <v>22.99</v>
      </c>
      <c r="G100" s="13" t="n">
        <v>22.99</v>
      </c>
      <c r="H100" s="26" t="n">
        <v>242.97</v>
      </c>
      <c r="I100" s="29" t="inlineStr">
        <is>
          <t>2026-05-08</t>
        </is>
      </c>
    </row>
    <row r="101">
      <c r="A101" s="9" t="n"/>
      <c r="B101" s="9" t="n"/>
      <c r="C101" s="9" t="n"/>
      <c r="D101" s="11" t="inlineStr">
        <is>
          <t>External SSD 1TB</t>
        </is>
      </c>
      <c r="E101" s="13" t="n">
        <v>2</v>
      </c>
      <c r="F101" s="13" t="n">
        <v>109.99</v>
      </c>
      <c r="G101" s="13" t="n">
        <v>219.98</v>
      </c>
      <c r="H101" s="9" t="n"/>
      <c r="I101" s="9" t="n"/>
    </row>
    <row r="102">
      <c r="A102" s="46" t="inlineStr">
        <is>
          <t>ORD-145</t>
        </is>
      </c>
      <c r="B102" s="33" t="inlineStr">
        <is>
          <t>Rajesh Singh</t>
        </is>
      </c>
      <c r="C102" s="47" t="inlineStr">
        <is>
          <t>Pending</t>
        </is>
      </c>
      <c r="D102" s="33" t="inlineStr">
        <is>
          <t>External SSD 1TB</t>
        </is>
      </c>
      <c r="E102" s="34" t="n">
        <v>3</v>
      </c>
      <c r="F102" s="34" t="n">
        <v>109.99</v>
      </c>
      <c r="G102" s="34" t="n">
        <v>329.97</v>
      </c>
      <c r="H102" s="48" t="n">
        <v>329.97</v>
      </c>
      <c r="I102" s="49" t="inlineStr">
        <is>
          <t>2026-05-15</t>
        </is>
      </c>
    </row>
    <row r="103">
      <c r="A103" s="26" t="inlineStr">
        <is>
          <t>ORD-472</t>
        </is>
      </c>
      <c r="B103" s="27" t="inlineStr">
        <is>
          <t>Varun Verma</t>
        </is>
      </c>
      <c r="C103" s="28" t="inlineStr">
        <is>
          <t>Delivered</t>
        </is>
      </c>
      <c r="D103" s="11" t="inlineStr">
        <is>
          <t>Phone Stand</t>
        </is>
      </c>
      <c r="E103" s="13" t="n">
        <v>3</v>
      </c>
      <c r="F103" s="13" t="n">
        <v>14.99</v>
      </c>
      <c r="G103" s="13" t="n">
        <v>44.97</v>
      </c>
      <c r="H103" s="26" t="n">
        <v>252.92</v>
      </c>
      <c r="I103" s="29" t="inlineStr">
        <is>
          <t>2026-04-21</t>
        </is>
      </c>
    </row>
    <row r="104">
      <c r="A104" s="8" t="n"/>
      <c r="B104" s="8" t="n"/>
      <c r="C104" s="8" t="n"/>
      <c r="D104" s="11" t="inlineStr">
        <is>
          <t>LED Desk Fan</t>
        </is>
      </c>
      <c r="E104" s="13" t="n">
        <v>2</v>
      </c>
      <c r="F104" s="13" t="n">
        <v>34.99</v>
      </c>
      <c r="G104" s="13" t="n">
        <v>69.98</v>
      </c>
      <c r="H104" s="8" t="n"/>
      <c r="I104" s="8" t="n"/>
    </row>
    <row r="105">
      <c r="A105" s="9" t="n"/>
      <c r="B105" s="9" t="n"/>
      <c r="C105" s="9" t="n"/>
      <c r="D105" s="11" t="inlineStr">
        <is>
          <t>USB-C Hub</t>
        </is>
      </c>
      <c r="E105" s="13" t="n">
        <v>3</v>
      </c>
      <c r="F105" s="13" t="n">
        <v>45.99</v>
      </c>
      <c r="G105" s="13" t="n">
        <v>137.97</v>
      </c>
      <c r="H105" s="9" t="n"/>
      <c r="I105" s="9" t="n"/>
    </row>
    <row r="106">
      <c r="A106" s="26" t="inlineStr">
        <is>
          <t>ORD-434</t>
        </is>
      </c>
      <c r="B106" s="27" t="inlineStr">
        <is>
          <t>Pooja Kumar</t>
        </is>
      </c>
      <c r="C106" s="28" t="inlineStr">
        <is>
          <t>Delivered</t>
        </is>
      </c>
      <c r="D106" s="11" t="inlineStr">
        <is>
          <t>Noise Cancelling Earbuds</t>
        </is>
      </c>
      <c r="E106" s="13" t="n">
        <v>1</v>
      </c>
      <c r="F106" s="13" t="n">
        <v>129.99</v>
      </c>
      <c r="G106" s="13" t="n">
        <v>129.99</v>
      </c>
      <c r="H106" s="26" t="n">
        <v>289.97</v>
      </c>
      <c r="I106" s="29" t="inlineStr">
        <is>
          <t>2026-05-14</t>
        </is>
      </c>
    </row>
    <row r="107">
      <c r="A107" s="9" t="n"/>
      <c r="B107" s="9" t="n"/>
      <c r="C107" s="9" t="n"/>
      <c r="D107" s="11" t="inlineStr">
        <is>
          <t>Webcam 1080p</t>
        </is>
      </c>
      <c r="E107" s="13" t="n">
        <v>2</v>
      </c>
      <c r="F107" s="13" t="n">
        <v>79.98999999999999</v>
      </c>
      <c r="G107" s="13" t="n">
        <v>159.98</v>
      </c>
      <c r="H107" s="9" t="n"/>
      <c r="I107" s="9" t="n"/>
    </row>
    <row r="108">
      <c r="A108" s="26" t="inlineStr">
        <is>
          <t>ORD-730</t>
        </is>
      </c>
      <c r="B108" s="27" t="inlineStr">
        <is>
          <t>Rahul Kapoor</t>
        </is>
      </c>
      <c r="C108" s="28" t="inlineStr">
        <is>
          <t>Delivered</t>
        </is>
      </c>
      <c r="D108" s="11" t="inlineStr">
        <is>
          <t>Noise Cancelling Earbuds</t>
        </is>
      </c>
      <c r="E108" s="13" t="n">
        <v>2</v>
      </c>
      <c r="F108" s="13" t="n">
        <v>129.99</v>
      </c>
      <c r="G108" s="13" t="n">
        <v>259.98</v>
      </c>
      <c r="H108" s="26" t="n">
        <v>439.96</v>
      </c>
      <c r="I108" s="29" t="inlineStr">
        <is>
          <t>2026-04-15</t>
        </is>
      </c>
    </row>
    <row r="109">
      <c r="A109" s="9" t="n"/>
      <c r="B109" s="9" t="n"/>
      <c r="C109" s="9" t="n"/>
      <c r="D109" s="11" t="inlineStr">
        <is>
          <t>Wireless Headphones</t>
        </is>
      </c>
      <c r="E109" s="13" t="n">
        <v>2</v>
      </c>
      <c r="F109" s="13" t="n">
        <v>89.98999999999999</v>
      </c>
      <c r="G109" s="13" t="n">
        <v>179.98</v>
      </c>
      <c r="H109" s="9" t="n"/>
      <c r="I109" s="9" t="n"/>
    </row>
    <row r="110">
      <c r="A110" s="30" t="inlineStr">
        <is>
          <t>ORD-721</t>
        </is>
      </c>
      <c r="B110" s="31" t="inlineStr">
        <is>
          <t>Karan Kumar</t>
        </is>
      </c>
      <c r="C110" s="32" t="inlineStr">
        <is>
          <t>Pending</t>
        </is>
      </c>
      <c r="D110" s="33" t="inlineStr">
        <is>
          <t>Screen Cleaner Kit</t>
        </is>
      </c>
      <c r="E110" s="34" t="n">
        <v>3</v>
      </c>
      <c r="F110" s="34" t="n">
        <v>12.99</v>
      </c>
      <c r="G110" s="34" t="n">
        <v>38.97</v>
      </c>
      <c r="H110" s="30" t="n">
        <v>73.95999999999999</v>
      </c>
      <c r="I110" s="35" t="inlineStr">
        <is>
          <t>2026-05-04</t>
        </is>
      </c>
    </row>
    <row r="111">
      <c r="A111" s="9" t="n"/>
      <c r="B111" s="9" t="n"/>
      <c r="C111" s="9" t="n"/>
      <c r="D111" s="33" t="inlineStr">
        <is>
          <t>LED Desk Fan</t>
        </is>
      </c>
      <c r="E111" s="34" t="n">
        <v>1</v>
      </c>
      <c r="F111" s="34" t="n">
        <v>34.99</v>
      </c>
      <c r="G111" s="34" t="n">
        <v>34.99</v>
      </c>
      <c r="H111" s="9" t="n"/>
      <c r="I111" s="9" t="n"/>
    </row>
    <row r="112">
      <c r="A112" s="2" t="inlineStr">
        <is>
          <t>ORD-186</t>
        </is>
      </c>
      <c r="B112" s="3" t="inlineStr">
        <is>
          <t>Manish Singh</t>
        </is>
      </c>
      <c r="C112" s="4" t="inlineStr">
        <is>
          <t>Shipped</t>
        </is>
      </c>
      <c r="D112" s="5" t="inlineStr">
        <is>
          <t>LED Desk Fan</t>
        </is>
      </c>
      <c r="E112" s="6" t="n">
        <v>1</v>
      </c>
      <c r="F112" s="6" t="n">
        <v>34.99</v>
      </c>
      <c r="G112" s="6" t="n">
        <v>34.99</v>
      </c>
      <c r="H112" s="2" t="n">
        <v>119.94</v>
      </c>
      <c r="I112" s="7" t="inlineStr">
        <is>
          <t>2026-04-16</t>
        </is>
      </c>
    </row>
    <row r="113">
      <c r="A113" s="8" t="n"/>
      <c r="B113" s="8" t="n"/>
      <c r="C113" s="8" t="n"/>
      <c r="D113" s="5" t="inlineStr">
        <is>
          <t>Phone Stand</t>
        </is>
      </c>
      <c r="E113" s="6" t="n">
        <v>3</v>
      </c>
      <c r="F113" s="6" t="n">
        <v>14.99</v>
      </c>
      <c r="G113" s="6" t="n">
        <v>44.97</v>
      </c>
      <c r="H113" s="8" t="n"/>
      <c r="I113" s="8" t="n"/>
    </row>
    <row r="114">
      <c r="A114" s="9" t="n"/>
      <c r="B114" s="9" t="n"/>
      <c r="C114" s="9" t="n"/>
      <c r="D114" s="5" t="inlineStr">
        <is>
          <t>Mouse Pad</t>
        </is>
      </c>
      <c r="E114" s="6" t="n">
        <v>2</v>
      </c>
      <c r="F114" s="6" t="n">
        <v>19.99</v>
      </c>
      <c r="G114" s="6" t="n">
        <v>39.98</v>
      </c>
      <c r="H114" s="9" t="n"/>
      <c r="I114" s="9" t="n"/>
    </row>
    <row r="115">
      <c r="A115" s="16" t="inlineStr">
        <is>
          <t>ORD-250</t>
        </is>
      </c>
      <c r="B115" s="5" t="inlineStr">
        <is>
          <t>Sneha Verma</t>
        </is>
      </c>
      <c r="C115" s="17" t="inlineStr">
        <is>
          <t>Shipped</t>
        </is>
      </c>
      <c r="D115" s="5" t="inlineStr">
        <is>
          <t>Smart Plug</t>
        </is>
      </c>
      <c r="E115" s="6" t="n">
        <v>3</v>
      </c>
      <c r="F115" s="6" t="n">
        <v>17.99</v>
      </c>
      <c r="G115" s="6" t="n">
        <v>53.97</v>
      </c>
      <c r="H115" s="18" t="n">
        <v>53.97</v>
      </c>
      <c r="I115" s="19" t="inlineStr">
        <is>
          <t>2026-04-06</t>
        </is>
      </c>
    </row>
    <row r="116">
      <c r="A116" s="26" t="inlineStr">
        <is>
          <t>ORD-744</t>
        </is>
      </c>
      <c r="B116" s="27" t="inlineStr">
        <is>
          <t>Priya Nair</t>
        </is>
      </c>
      <c r="C116" s="28" t="inlineStr">
        <is>
          <t>Delivered</t>
        </is>
      </c>
      <c r="D116" s="11" t="inlineStr">
        <is>
          <t>Ergonomic Mouse</t>
        </is>
      </c>
      <c r="E116" s="13" t="n">
        <v>1</v>
      </c>
      <c r="F116" s="13" t="n">
        <v>49.99</v>
      </c>
      <c r="G116" s="13" t="n">
        <v>49.99</v>
      </c>
      <c r="H116" s="26" t="n">
        <v>172.95</v>
      </c>
      <c r="I116" s="29" t="inlineStr">
        <is>
          <t>2026-05-16</t>
        </is>
      </c>
    </row>
    <row r="117">
      <c r="A117" s="8" t="n"/>
      <c r="B117" s="8" t="n"/>
      <c r="C117" s="8" t="n"/>
      <c r="D117" s="11" t="inlineStr">
        <is>
          <t>Smart Plug</t>
        </is>
      </c>
      <c r="E117" s="13" t="n">
        <v>1</v>
      </c>
      <c r="F117" s="13" t="n">
        <v>17.99</v>
      </c>
      <c r="G117" s="13" t="n">
        <v>17.99</v>
      </c>
      <c r="H117" s="8" t="n"/>
      <c r="I117" s="8" t="n"/>
    </row>
    <row r="118">
      <c r="A118" s="9" t="n"/>
      <c r="B118" s="9" t="n"/>
      <c r="C118" s="9" t="n"/>
      <c r="D118" s="11" t="inlineStr">
        <is>
          <t>LED Desk Fan</t>
        </is>
      </c>
      <c r="E118" s="13" t="n">
        <v>3</v>
      </c>
      <c r="F118" s="13" t="n">
        <v>34.99</v>
      </c>
      <c r="G118" s="13" t="n">
        <v>104.97</v>
      </c>
      <c r="H118" s="9" t="n"/>
      <c r="I118" s="9" t="n"/>
    </row>
    <row r="119">
      <c r="A119" s="10" t="inlineStr">
        <is>
          <t>ORD-897</t>
        </is>
      </c>
      <c r="B119" s="11" t="inlineStr">
        <is>
          <t>Amit Mehta</t>
        </is>
      </c>
      <c r="C119" s="12" t="inlineStr">
        <is>
          <t>Delivered</t>
        </is>
      </c>
      <c r="D119" s="11" t="inlineStr">
        <is>
          <t>External SSD 1TB</t>
        </is>
      </c>
      <c r="E119" s="13" t="n">
        <v>2</v>
      </c>
      <c r="F119" s="13" t="n">
        <v>109.99</v>
      </c>
      <c r="G119" s="13" t="n">
        <v>219.98</v>
      </c>
      <c r="H119" s="14" t="n">
        <v>219.98</v>
      </c>
      <c r="I119" s="15" t="inlineStr">
        <is>
          <t>2026-04-05</t>
        </is>
      </c>
    </row>
    <row r="120">
      <c r="A120" s="16" t="inlineStr">
        <is>
          <t>ORD-968</t>
        </is>
      </c>
      <c r="B120" s="5" t="inlineStr">
        <is>
          <t>Amit Mishra</t>
        </is>
      </c>
      <c r="C120" s="17" t="inlineStr">
        <is>
          <t>Shipped</t>
        </is>
      </c>
      <c r="D120" s="5" t="inlineStr">
        <is>
          <t>Screen Cleaner Kit</t>
        </is>
      </c>
      <c r="E120" s="6" t="n">
        <v>3</v>
      </c>
      <c r="F120" s="6" t="n">
        <v>12.99</v>
      </c>
      <c r="G120" s="6" t="n">
        <v>38.97</v>
      </c>
      <c r="H120" s="18" t="n">
        <v>38.97</v>
      </c>
      <c r="I120" s="19" t="inlineStr">
        <is>
          <t>2026-05-05</t>
        </is>
      </c>
    </row>
    <row r="121">
      <c r="A121" s="40" t="inlineStr">
        <is>
          <t>ORD-424</t>
        </is>
      </c>
      <c r="B121" s="41" t="inlineStr">
        <is>
          <t>Pallavi Kumar</t>
        </is>
      </c>
      <c r="C121" s="42" t="inlineStr">
        <is>
          <t>Cancelled</t>
        </is>
      </c>
      <c r="D121" s="43" t="inlineStr">
        <is>
          <t>LED Desk Fan</t>
        </is>
      </c>
      <c r="E121" s="44" t="n">
        <v>2</v>
      </c>
      <c r="F121" s="44" t="n">
        <v>34.99</v>
      </c>
      <c r="G121" s="44" t="n">
        <v>69.98</v>
      </c>
      <c r="H121" s="40" t="n">
        <v>399.95</v>
      </c>
      <c r="I121" s="45" t="inlineStr">
        <is>
          <t>2026-04-30</t>
        </is>
      </c>
    </row>
    <row r="122">
      <c r="A122" s="9" t="n"/>
      <c r="B122" s="9" t="n"/>
      <c r="C122" s="9" t="n"/>
      <c r="D122" s="43" t="inlineStr">
        <is>
          <t>External SSD 1TB</t>
        </is>
      </c>
      <c r="E122" s="44" t="n">
        <v>3</v>
      </c>
      <c r="F122" s="44" t="n">
        <v>109.99</v>
      </c>
      <c r="G122" s="44" t="n">
        <v>329.97</v>
      </c>
      <c r="H122" s="9" t="n"/>
      <c r="I122" s="9" t="n"/>
    </row>
    <row r="123">
      <c r="A123" s="36" t="inlineStr">
        <is>
          <t>ORD-861</t>
        </is>
      </c>
      <c r="B123" s="37" t="inlineStr">
        <is>
          <t>Karan Mehta</t>
        </is>
      </c>
      <c r="C123" s="38" t="inlineStr">
        <is>
          <t>Delayed</t>
        </is>
      </c>
      <c r="D123" s="21" t="inlineStr">
        <is>
          <t>Desk Lamp</t>
        </is>
      </c>
      <c r="E123" s="23" t="n">
        <v>3</v>
      </c>
      <c r="F123" s="23" t="n">
        <v>29.99</v>
      </c>
      <c r="G123" s="23" t="n">
        <v>89.97</v>
      </c>
      <c r="H123" s="36" t="n">
        <v>169.95</v>
      </c>
      <c r="I123" s="39" t="inlineStr">
        <is>
          <t>2026-05-05</t>
        </is>
      </c>
    </row>
    <row r="124">
      <c r="A124" s="9" t="n"/>
      <c r="B124" s="9" t="n"/>
      <c r="C124" s="9" t="n"/>
      <c r="D124" s="21" t="inlineStr">
        <is>
          <t>Portable Charger</t>
        </is>
      </c>
      <c r="E124" s="23" t="n">
        <v>2</v>
      </c>
      <c r="F124" s="23" t="n">
        <v>39.99</v>
      </c>
      <c r="G124" s="23" t="n">
        <v>79.98</v>
      </c>
      <c r="H124" s="9" t="n"/>
      <c r="I124" s="9" t="n"/>
    </row>
    <row r="125">
      <c r="A125" s="26" t="inlineStr">
        <is>
          <t>ORD-381</t>
        </is>
      </c>
      <c r="B125" s="27" t="inlineStr">
        <is>
          <t>Ananya Reddy</t>
        </is>
      </c>
      <c r="C125" s="28" t="inlineStr">
        <is>
          <t>Delivered</t>
        </is>
      </c>
      <c r="D125" s="11" t="inlineStr">
        <is>
          <t>Bluetooth Speaker</t>
        </is>
      </c>
      <c r="E125" s="13" t="n">
        <v>2</v>
      </c>
      <c r="F125" s="13" t="n">
        <v>59.99</v>
      </c>
      <c r="G125" s="13" t="n">
        <v>119.98</v>
      </c>
      <c r="H125" s="26" t="n">
        <v>289.93</v>
      </c>
      <c r="I125" s="29" t="inlineStr">
        <is>
          <t>2026-04-07</t>
        </is>
      </c>
    </row>
    <row r="126">
      <c r="A126" s="8" t="n"/>
      <c r="B126" s="8" t="n"/>
      <c r="C126" s="8" t="n"/>
      <c r="D126" s="11" t="inlineStr">
        <is>
          <t>Portable Charger</t>
        </is>
      </c>
      <c r="E126" s="13" t="n">
        <v>2</v>
      </c>
      <c r="F126" s="13" t="n">
        <v>39.99</v>
      </c>
      <c r="G126" s="13" t="n">
        <v>79.98</v>
      </c>
      <c r="H126" s="8" t="n"/>
      <c r="I126" s="8" t="n"/>
    </row>
    <row r="127">
      <c r="A127" s="9" t="n"/>
      <c r="B127" s="9" t="n"/>
      <c r="C127" s="9" t="n"/>
      <c r="D127" s="11" t="inlineStr">
        <is>
          <t>Desk Lamp</t>
        </is>
      </c>
      <c r="E127" s="13" t="n">
        <v>3</v>
      </c>
      <c r="F127" s="13" t="n">
        <v>29.99</v>
      </c>
      <c r="G127" s="13" t="n">
        <v>89.97</v>
      </c>
      <c r="H127" s="9" t="n"/>
      <c r="I127" s="9" t="n"/>
    </row>
    <row r="128">
      <c r="A128" s="10" t="inlineStr">
        <is>
          <t>ORD-336</t>
        </is>
      </c>
      <c r="B128" s="11" t="inlineStr">
        <is>
          <t>Rahul Pillai</t>
        </is>
      </c>
      <c r="C128" s="12" t="inlineStr">
        <is>
          <t>Delivered</t>
        </is>
      </c>
      <c r="D128" s="11" t="inlineStr">
        <is>
          <t>Laptop Sleeve</t>
        </is>
      </c>
      <c r="E128" s="13" t="n">
        <v>1</v>
      </c>
      <c r="F128" s="13" t="n">
        <v>24.99</v>
      </c>
      <c r="G128" s="13" t="n">
        <v>24.99</v>
      </c>
      <c r="H128" s="14" t="n">
        <v>24.99</v>
      </c>
      <c r="I128" s="15" t="inlineStr">
        <is>
          <t>2026-04-28</t>
        </is>
      </c>
    </row>
    <row r="129">
      <c r="A129" s="10" t="inlineStr">
        <is>
          <t>ORD-655</t>
        </is>
      </c>
      <c r="B129" s="11" t="inlineStr">
        <is>
          <t>Pallavi Kapoor</t>
        </is>
      </c>
      <c r="C129" s="12" t="inlineStr">
        <is>
          <t>Delivered</t>
        </is>
      </c>
      <c r="D129" s="11" t="inlineStr">
        <is>
          <t>Laptop Sleeve</t>
        </is>
      </c>
      <c r="E129" s="13" t="n">
        <v>2</v>
      </c>
      <c r="F129" s="13" t="n">
        <v>24.99</v>
      </c>
      <c r="G129" s="13" t="n">
        <v>49.98</v>
      </c>
      <c r="H129" s="14" t="n">
        <v>49.98</v>
      </c>
      <c r="I129" s="15" t="inlineStr">
        <is>
          <t>2026-04-26</t>
        </is>
      </c>
    </row>
    <row r="130">
      <c r="A130" s="2" t="inlineStr">
        <is>
          <t>ORD-812</t>
        </is>
      </c>
      <c r="B130" s="3" t="inlineStr">
        <is>
          <t>Amit Agarwal</t>
        </is>
      </c>
      <c r="C130" s="4" t="inlineStr">
        <is>
          <t>Shipped</t>
        </is>
      </c>
      <c r="D130" s="5" t="inlineStr">
        <is>
          <t>Ergonomic Mouse</t>
        </is>
      </c>
      <c r="E130" s="6" t="n">
        <v>2</v>
      </c>
      <c r="F130" s="6" t="n">
        <v>49.99</v>
      </c>
      <c r="G130" s="6" t="n">
        <v>99.98</v>
      </c>
      <c r="H130" s="2" t="n">
        <v>315.94</v>
      </c>
      <c r="I130" s="7" t="inlineStr">
        <is>
          <t>2026-04-28</t>
        </is>
      </c>
    </row>
    <row r="131">
      <c r="A131" s="8" t="n"/>
      <c r="B131" s="8" t="n"/>
      <c r="C131" s="8" t="n"/>
      <c r="D131" s="5" t="inlineStr">
        <is>
          <t>Smart Plug</t>
        </is>
      </c>
      <c r="E131" s="6" t="n">
        <v>2</v>
      </c>
      <c r="F131" s="6" t="n">
        <v>17.99</v>
      </c>
      <c r="G131" s="6" t="n">
        <v>35.98</v>
      </c>
      <c r="H131" s="8" t="n"/>
      <c r="I131" s="8" t="n"/>
    </row>
    <row r="132">
      <c r="A132" s="9" t="n"/>
      <c r="B132" s="9" t="n"/>
      <c r="C132" s="9" t="n"/>
      <c r="D132" s="5" t="inlineStr">
        <is>
          <t>Wireless Headphones</t>
        </is>
      </c>
      <c r="E132" s="6" t="n">
        <v>2</v>
      </c>
      <c r="F132" s="6" t="n">
        <v>89.98999999999999</v>
      </c>
      <c r="G132" s="6" t="n">
        <v>179.98</v>
      </c>
      <c r="H132" s="9" t="n"/>
      <c r="I132" s="9" t="n"/>
    </row>
    <row r="133">
      <c r="A133" s="10" t="inlineStr">
        <is>
          <t>ORD-919</t>
        </is>
      </c>
      <c r="B133" s="11" t="inlineStr">
        <is>
          <t>Rahul Shah</t>
        </is>
      </c>
      <c r="C133" s="12" t="inlineStr">
        <is>
          <t>Delivered</t>
        </is>
      </c>
      <c r="D133" s="11" t="inlineStr">
        <is>
          <t>Smart Plug</t>
        </is>
      </c>
      <c r="E133" s="13" t="n">
        <v>1</v>
      </c>
      <c r="F133" s="13" t="n">
        <v>17.99</v>
      </c>
      <c r="G133" s="13" t="n">
        <v>17.99</v>
      </c>
      <c r="H133" s="14" t="n">
        <v>17.99</v>
      </c>
      <c r="I133" s="15" t="inlineStr">
        <is>
          <t>2026-04-19</t>
        </is>
      </c>
    </row>
    <row r="134">
      <c r="A134" s="26" t="inlineStr">
        <is>
          <t>ORD-129</t>
        </is>
      </c>
      <c r="B134" s="27" t="inlineStr">
        <is>
          <t>Ajay Bhat</t>
        </is>
      </c>
      <c r="C134" s="28" t="inlineStr">
        <is>
          <t>Delivered</t>
        </is>
      </c>
      <c r="D134" s="11" t="inlineStr">
        <is>
          <t>Ergonomic Mouse</t>
        </is>
      </c>
      <c r="E134" s="13" t="n">
        <v>1</v>
      </c>
      <c r="F134" s="13" t="n">
        <v>49.99</v>
      </c>
      <c r="G134" s="13" t="n">
        <v>49.99</v>
      </c>
      <c r="H134" s="26" t="n">
        <v>193.96</v>
      </c>
      <c r="I134" s="29" t="inlineStr">
        <is>
          <t>2026-04-03</t>
        </is>
      </c>
    </row>
    <row r="135">
      <c r="A135" s="8" t="n"/>
      <c r="B135" s="8" t="n"/>
      <c r="C135" s="8" t="n"/>
      <c r="D135" s="11" t="inlineStr">
        <is>
          <t>Monitor Stand</t>
        </is>
      </c>
      <c r="E135" s="13" t="n">
        <v>3</v>
      </c>
      <c r="F135" s="13" t="n">
        <v>35</v>
      </c>
      <c r="G135" s="13" t="n">
        <v>105</v>
      </c>
      <c r="H135" s="8" t="n"/>
      <c r="I135" s="8" t="n"/>
    </row>
    <row r="136">
      <c r="A136" s="9" t="n"/>
      <c r="B136" s="9" t="n"/>
      <c r="C136" s="9" t="n"/>
      <c r="D136" s="11" t="inlineStr">
        <is>
          <t>Screen Cleaner Kit</t>
        </is>
      </c>
      <c r="E136" s="13" t="n">
        <v>3</v>
      </c>
      <c r="F136" s="13" t="n">
        <v>12.99</v>
      </c>
      <c r="G136" s="13" t="n">
        <v>38.97</v>
      </c>
      <c r="H136" s="9" t="n"/>
      <c r="I136" s="9" t="n"/>
    </row>
    <row r="137">
      <c r="A137" s="10" t="inlineStr">
        <is>
          <t>ORD-706</t>
        </is>
      </c>
      <c r="B137" s="11" t="inlineStr">
        <is>
          <t>Ananya Desai</t>
        </is>
      </c>
      <c r="C137" s="12" t="inlineStr">
        <is>
          <t>Delivered</t>
        </is>
      </c>
      <c r="D137" s="11" t="inlineStr">
        <is>
          <t>Mouse Pad</t>
        </is>
      </c>
      <c r="E137" s="13" t="n">
        <v>3</v>
      </c>
      <c r="F137" s="13" t="n">
        <v>19.99</v>
      </c>
      <c r="G137" s="13" t="n">
        <v>59.97</v>
      </c>
      <c r="H137" s="14" t="n">
        <v>59.97</v>
      </c>
      <c r="I137" s="15" t="inlineStr">
        <is>
          <t>2026-04-29</t>
        </is>
      </c>
    </row>
    <row r="138">
      <c r="A138" s="2" t="inlineStr">
        <is>
          <t>ORD-286</t>
        </is>
      </c>
      <c r="B138" s="3" t="inlineStr">
        <is>
          <t>Sunita Bhat</t>
        </is>
      </c>
      <c r="C138" s="4" t="inlineStr">
        <is>
          <t>Shipped</t>
        </is>
      </c>
      <c r="D138" s="5" t="inlineStr">
        <is>
          <t>Phone Stand</t>
        </is>
      </c>
      <c r="E138" s="6" t="n">
        <v>2</v>
      </c>
      <c r="F138" s="6" t="n">
        <v>14.99</v>
      </c>
      <c r="G138" s="6" t="n">
        <v>29.98</v>
      </c>
      <c r="H138" s="2" t="n">
        <v>79.95999999999999</v>
      </c>
      <c r="I138" s="7" t="inlineStr">
        <is>
          <t>2026-04-23</t>
        </is>
      </c>
    </row>
    <row r="139">
      <c r="A139" s="9" t="n"/>
      <c r="B139" s="9" t="n"/>
      <c r="C139" s="9" t="n"/>
      <c r="D139" s="5" t="inlineStr">
        <is>
          <t>Laptop Sleeve</t>
        </is>
      </c>
      <c r="E139" s="6" t="n">
        <v>2</v>
      </c>
      <c r="F139" s="6" t="n">
        <v>24.99</v>
      </c>
      <c r="G139" s="6" t="n">
        <v>49.98</v>
      </c>
      <c r="H139" s="9" t="n"/>
      <c r="I139" s="9" t="n"/>
    </row>
    <row r="140">
      <c r="A140" s="40" t="inlineStr">
        <is>
          <t>ORD-870</t>
        </is>
      </c>
      <c r="B140" s="41" t="inlineStr">
        <is>
          <t>Arjun Rao</t>
        </is>
      </c>
      <c r="C140" s="42" t="inlineStr">
        <is>
          <t>Cancelled</t>
        </is>
      </c>
      <c r="D140" s="43" t="inlineStr">
        <is>
          <t>Desk Lamp</t>
        </is>
      </c>
      <c r="E140" s="44" t="n">
        <v>2</v>
      </c>
      <c r="F140" s="44" t="n">
        <v>29.99</v>
      </c>
      <c r="G140" s="44" t="n">
        <v>59.98</v>
      </c>
      <c r="H140" s="40" t="n">
        <v>79.97</v>
      </c>
      <c r="I140" s="45" t="inlineStr">
        <is>
          <t>2026-05-06</t>
        </is>
      </c>
    </row>
    <row r="141">
      <c r="A141" s="9" t="n"/>
      <c r="B141" s="9" t="n"/>
      <c r="C141" s="9" t="n"/>
      <c r="D141" s="43" t="inlineStr">
        <is>
          <t>Mouse Pad</t>
        </is>
      </c>
      <c r="E141" s="44" t="n">
        <v>1</v>
      </c>
      <c r="F141" s="44" t="n">
        <v>19.99</v>
      </c>
      <c r="G141" s="44" t="n">
        <v>19.99</v>
      </c>
      <c r="H141" s="9" t="n"/>
      <c r="I141" s="9" t="n"/>
    </row>
    <row r="142">
      <c r="A142" s="30" t="inlineStr">
        <is>
          <t>ORD-329</t>
        </is>
      </c>
      <c r="B142" s="31" t="inlineStr">
        <is>
          <t>Sanjay Reddy</t>
        </is>
      </c>
      <c r="C142" s="32" t="inlineStr">
        <is>
          <t>Pending</t>
        </is>
      </c>
      <c r="D142" s="33" t="inlineStr">
        <is>
          <t>Mechanical Keyboard</t>
        </is>
      </c>
      <c r="E142" s="34" t="n">
        <v>1</v>
      </c>
      <c r="F142" s="34" t="n">
        <v>149</v>
      </c>
      <c r="G142" s="34" t="n">
        <v>149</v>
      </c>
      <c r="H142" s="30" t="n">
        <v>358.96</v>
      </c>
      <c r="I142" s="35" t="inlineStr">
        <is>
          <t>2026-04-11</t>
        </is>
      </c>
    </row>
    <row r="143">
      <c r="A143" s="8" t="n"/>
      <c r="B143" s="8" t="n"/>
      <c r="C143" s="8" t="n"/>
      <c r="D143" s="33" t="inlineStr">
        <is>
          <t>Wireless Headphones</t>
        </is>
      </c>
      <c r="E143" s="34" t="n">
        <v>1</v>
      </c>
      <c r="F143" s="34" t="n">
        <v>89.98999999999999</v>
      </c>
      <c r="G143" s="34" t="n">
        <v>89.98999999999999</v>
      </c>
      <c r="H143" s="8" t="n"/>
      <c r="I143" s="8" t="n"/>
    </row>
    <row r="144">
      <c r="A144" s="9" t="n"/>
      <c r="B144" s="9" t="n"/>
      <c r="C144" s="9" t="n"/>
      <c r="D144" s="33" t="inlineStr">
        <is>
          <t>Portable Charger</t>
        </is>
      </c>
      <c r="E144" s="34" t="n">
        <v>3</v>
      </c>
      <c r="F144" s="34" t="n">
        <v>39.99</v>
      </c>
      <c r="G144" s="34" t="n">
        <v>119.97</v>
      </c>
      <c r="H144" s="9" t="n"/>
      <c r="I144" s="9" t="n"/>
    </row>
    <row r="145">
      <c r="A145" s="30" t="inlineStr">
        <is>
          <t>ORD-584</t>
        </is>
      </c>
      <c r="B145" s="31" t="inlineStr">
        <is>
          <t>Rajesh Nair</t>
        </is>
      </c>
      <c r="C145" s="32" t="inlineStr">
        <is>
          <t>Pending</t>
        </is>
      </c>
      <c r="D145" s="33" t="inlineStr">
        <is>
          <t>Laptop Sleeve</t>
        </is>
      </c>
      <c r="E145" s="34" t="n">
        <v>2</v>
      </c>
      <c r="F145" s="34" t="n">
        <v>24.99</v>
      </c>
      <c r="G145" s="34" t="n">
        <v>49.98</v>
      </c>
      <c r="H145" s="30" t="n">
        <v>152.94</v>
      </c>
      <c r="I145" s="35" t="inlineStr">
        <is>
          <t>2026-05-10</t>
        </is>
      </c>
    </row>
    <row r="146">
      <c r="A146" s="8" t="n"/>
      <c r="B146" s="8" t="n"/>
      <c r="C146" s="8" t="n"/>
      <c r="D146" s="33" t="inlineStr">
        <is>
          <t>Screen Cleaner Kit</t>
        </is>
      </c>
      <c r="E146" s="34" t="n">
        <v>1</v>
      </c>
      <c r="F146" s="34" t="n">
        <v>12.99</v>
      </c>
      <c r="G146" s="34" t="n">
        <v>12.99</v>
      </c>
      <c r="H146" s="8" t="n"/>
      <c r="I146" s="8" t="n"/>
    </row>
    <row r="147">
      <c r="A147" s="9" t="n"/>
      <c r="B147" s="9" t="n"/>
      <c r="C147" s="9" t="n"/>
      <c r="D147" s="33" t="inlineStr">
        <is>
          <t>Desk Lamp</t>
        </is>
      </c>
      <c r="E147" s="34" t="n">
        <v>3</v>
      </c>
      <c r="F147" s="34" t="n">
        <v>29.99</v>
      </c>
      <c r="G147" s="34" t="n">
        <v>89.97</v>
      </c>
      <c r="H147" s="9" t="n"/>
      <c r="I147" s="9" t="n"/>
    </row>
    <row r="148">
      <c r="A148" s="36" t="inlineStr">
        <is>
          <t>ORD-896</t>
        </is>
      </c>
      <c r="B148" s="37" t="inlineStr">
        <is>
          <t>Varun Bhat</t>
        </is>
      </c>
      <c r="C148" s="38" t="inlineStr">
        <is>
          <t>Delayed</t>
        </is>
      </c>
      <c r="D148" s="21" t="inlineStr">
        <is>
          <t>USB-C Hub</t>
        </is>
      </c>
      <c r="E148" s="23" t="n">
        <v>1</v>
      </c>
      <c r="F148" s="23" t="n">
        <v>45.99</v>
      </c>
      <c r="G148" s="23" t="n">
        <v>45.99</v>
      </c>
      <c r="H148" s="36" t="n">
        <v>445.97</v>
      </c>
      <c r="I148" s="39" t="inlineStr">
        <is>
          <t>2026-05-08</t>
        </is>
      </c>
    </row>
    <row r="149">
      <c r="A149" s="9" t="n"/>
      <c r="B149" s="9" t="n"/>
      <c r="C149" s="9" t="n"/>
      <c r="D149" s="21" t="inlineStr">
        <is>
          <t>Drawing Tablet</t>
        </is>
      </c>
      <c r="E149" s="23" t="n">
        <v>2</v>
      </c>
      <c r="F149" s="23" t="n">
        <v>199.99</v>
      </c>
      <c r="G149" s="23" t="n">
        <v>399.98</v>
      </c>
      <c r="H149" s="9" t="n"/>
      <c r="I149" s="9" t="n"/>
    </row>
    <row r="150">
      <c r="A150" s="50" t="inlineStr">
        <is>
          <t>ORD-506</t>
        </is>
      </c>
      <c r="B150" s="43" t="inlineStr">
        <is>
          <t>Geeta Mehta</t>
        </is>
      </c>
      <c r="C150" s="51" t="inlineStr">
        <is>
          <t>Cancelled</t>
        </is>
      </c>
      <c r="D150" s="43" t="inlineStr">
        <is>
          <t>Mouse Pad</t>
        </is>
      </c>
      <c r="E150" s="44" t="n">
        <v>3</v>
      </c>
      <c r="F150" s="44" t="n">
        <v>19.99</v>
      </c>
      <c r="G150" s="44" t="n">
        <v>59.97</v>
      </c>
      <c r="H150" s="52" t="n">
        <v>59.97</v>
      </c>
      <c r="I150" s="53" t="inlineStr">
        <is>
          <t>2026-05-16</t>
        </is>
      </c>
    </row>
    <row r="151">
      <c r="A151" s="30" t="inlineStr">
        <is>
          <t>ORD-204</t>
        </is>
      </c>
      <c r="B151" s="31" t="inlineStr">
        <is>
          <t>Amit Verma</t>
        </is>
      </c>
      <c r="C151" s="32" t="inlineStr">
        <is>
          <t>Pending</t>
        </is>
      </c>
      <c r="D151" s="33" t="inlineStr">
        <is>
          <t>LED Desk Fan</t>
        </is>
      </c>
      <c r="E151" s="34" t="n">
        <v>3</v>
      </c>
      <c r="F151" s="34" t="n">
        <v>34.99</v>
      </c>
      <c r="G151" s="34" t="n">
        <v>104.97</v>
      </c>
      <c r="H151" s="30" t="n">
        <v>150.96</v>
      </c>
      <c r="I151" s="35" t="inlineStr">
        <is>
          <t>2026-04-24</t>
        </is>
      </c>
    </row>
    <row r="152">
      <c r="A152" s="9" t="n"/>
      <c r="B152" s="9" t="n"/>
      <c r="C152" s="9" t="n"/>
      <c r="D152" s="33" t="inlineStr">
        <is>
          <t>USB-C Hub</t>
        </is>
      </c>
      <c r="E152" s="34" t="n">
        <v>1</v>
      </c>
      <c r="F152" s="34" t="n">
        <v>45.99</v>
      </c>
      <c r="G152" s="34" t="n">
        <v>45.99</v>
      </c>
      <c r="H152" s="9" t="n"/>
      <c r="I152" s="9" t="n"/>
    </row>
    <row r="153">
      <c r="A153" s="26" t="inlineStr">
        <is>
          <t>ORD-777</t>
        </is>
      </c>
      <c r="B153" s="27" t="inlineStr">
        <is>
          <t>Shreya Desai</t>
        </is>
      </c>
      <c r="C153" s="28" t="inlineStr">
        <is>
          <t>Delivered</t>
        </is>
      </c>
      <c r="D153" s="11" t="inlineStr">
        <is>
          <t>Phone Stand</t>
        </is>
      </c>
      <c r="E153" s="13" t="n">
        <v>2</v>
      </c>
      <c r="F153" s="13" t="n">
        <v>14.99</v>
      </c>
      <c r="G153" s="13" t="n">
        <v>29.98</v>
      </c>
      <c r="H153" s="26" t="n">
        <v>165.95</v>
      </c>
      <c r="I153" s="29" t="inlineStr">
        <is>
          <t>2026-04-25</t>
        </is>
      </c>
    </row>
    <row r="154">
      <c r="A154" s="8" t="n"/>
      <c r="B154" s="8" t="n"/>
      <c r="C154" s="8" t="n"/>
      <c r="D154" s="11" t="inlineStr">
        <is>
          <t>Wireless Headphones</t>
        </is>
      </c>
      <c r="E154" s="13" t="n">
        <v>1</v>
      </c>
      <c r="F154" s="13" t="n">
        <v>89.98999999999999</v>
      </c>
      <c r="G154" s="13" t="n">
        <v>89.98999999999999</v>
      </c>
      <c r="H154" s="8" t="n"/>
      <c r="I154" s="8" t="n"/>
    </row>
    <row r="155">
      <c r="A155" s="9" t="n"/>
      <c r="B155" s="9" t="n"/>
      <c r="C155" s="9" t="n"/>
      <c r="D155" s="11" t="inlineStr">
        <is>
          <t>Keyboard Wrist Rest</t>
        </is>
      </c>
      <c r="E155" s="13" t="n">
        <v>2</v>
      </c>
      <c r="F155" s="13" t="n">
        <v>22.99</v>
      </c>
      <c r="G155" s="13" t="n">
        <v>45.98</v>
      </c>
      <c r="H155" s="9" t="n"/>
      <c r="I155" s="9" t="n"/>
    </row>
    <row r="156">
      <c r="A156" s="16" t="inlineStr">
        <is>
          <t>ORD-824</t>
        </is>
      </c>
      <c r="B156" s="5" t="inlineStr">
        <is>
          <t>Nikhil Agarwal</t>
        </is>
      </c>
      <c r="C156" s="17" t="inlineStr">
        <is>
          <t>Shipped</t>
        </is>
      </c>
      <c r="D156" s="5" t="inlineStr">
        <is>
          <t>External SSD 1TB</t>
        </is>
      </c>
      <c r="E156" s="6" t="n">
        <v>3</v>
      </c>
      <c r="F156" s="6" t="n">
        <v>109.99</v>
      </c>
      <c r="G156" s="6" t="n">
        <v>329.97</v>
      </c>
      <c r="H156" s="18" t="n">
        <v>329.97</v>
      </c>
      <c r="I156" s="19" t="inlineStr">
        <is>
          <t>2026-04-19</t>
        </is>
      </c>
    </row>
    <row r="157">
      <c r="A157" s="26" t="inlineStr">
        <is>
          <t>ORD-893</t>
        </is>
      </c>
      <c r="B157" s="27" t="inlineStr">
        <is>
          <t>Kavya Desai</t>
        </is>
      </c>
      <c r="C157" s="28" t="inlineStr">
        <is>
          <t>Delivered</t>
        </is>
      </c>
      <c r="D157" s="11" t="inlineStr">
        <is>
          <t>Drawing Tablet</t>
        </is>
      </c>
      <c r="E157" s="13" t="n">
        <v>2</v>
      </c>
      <c r="F157" s="13" t="n">
        <v>199.99</v>
      </c>
      <c r="G157" s="13" t="n">
        <v>399.98</v>
      </c>
      <c r="H157" s="26" t="n">
        <v>429.97</v>
      </c>
      <c r="I157" s="29" t="inlineStr">
        <is>
          <t>2026-04-07</t>
        </is>
      </c>
    </row>
    <row r="158">
      <c r="A158" s="9" t="n"/>
      <c r="B158" s="9" t="n"/>
      <c r="C158" s="9" t="n"/>
      <c r="D158" s="11" t="inlineStr">
        <is>
          <t>Desk Lamp</t>
        </is>
      </c>
      <c r="E158" s="13" t="n">
        <v>1</v>
      </c>
      <c r="F158" s="13" t="n">
        <v>29.99</v>
      </c>
      <c r="G158" s="13" t="n">
        <v>29.99</v>
      </c>
      <c r="H158" s="9" t="n"/>
      <c r="I158" s="9" t="n"/>
    </row>
    <row r="159">
      <c r="A159" s="30" t="inlineStr">
        <is>
          <t>ORD-349</t>
        </is>
      </c>
      <c r="B159" s="31" t="inlineStr">
        <is>
          <t>Karan Singh</t>
        </is>
      </c>
      <c r="C159" s="32" t="inlineStr">
        <is>
          <t>Pending</t>
        </is>
      </c>
      <c r="D159" s="33" t="inlineStr">
        <is>
          <t>LED Desk Fan</t>
        </is>
      </c>
      <c r="E159" s="34" t="n">
        <v>1</v>
      </c>
      <c r="F159" s="34" t="n">
        <v>34.99</v>
      </c>
      <c r="G159" s="34" t="n">
        <v>34.99</v>
      </c>
      <c r="H159" s="30" t="n">
        <v>164.95</v>
      </c>
      <c r="I159" s="35" t="inlineStr">
        <is>
          <t>2026-04-13</t>
        </is>
      </c>
    </row>
    <row r="160">
      <c r="A160" s="8" t="n"/>
      <c r="B160" s="8" t="n"/>
      <c r="C160" s="8" t="n"/>
      <c r="D160" s="33" t="inlineStr">
        <is>
          <t>Ergonomic Mouse</t>
        </is>
      </c>
      <c r="E160" s="34" t="n">
        <v>2</v>
      </c>
      <c r="F160" s="34" t="n">
        <v>49.99</v>
      </c>
      <c r="G160" s="34" t="n">
        <v>99.98</v>
      </c>
      <c r="H160" s="8" t="n"/>
      <c r="I160" s="8" t="n"/>
    </row>
    <row r="161">
      <c r="A161" s="9" t="n"/>
      <c r="B161" s="9" t="n"/>
      <c r="C161" s="9" t="n"/>
      <c r="D161" s="33" t="inlineStr">
        <is>
          <t>Phone Stand</t>
        </is>
      </c>
      <c r="E161" s="34" t="n">
        <v>2</v>
      </c>
      <c r="F161" s="34" t="n">
        <v>14.99</v>
      </c>
      <c r="G161" s="34" t="n">
        <v>29.98</v>
      </c>
      <c r="H161" s="9" t="n"/>
      <c r="I161" s="9" t="n"/>
    </row>
    <row r="162">
      <c r="A162" s="30" t="inlineStr">
        <is>
          <t>ORD-463</t>
        </is>
      </c>
      <c r="B162" s="31" t="inlineStr">
        <is>
          <t>Deepa Iyer</t>
        </is>
      </c>
      <c r="C162" s="32" t="inlineStr">
        <is>
          <t>Pending</t>
        </is>
      </c>
      <c r="D162" s="33" t="inlineStr">
        <is>
          <t>Desk Lamp</t>
        </is>
      </c>
      <c r="E162" s="34" t="n">
        <v>3</v>
      </c>
      <c r="F162" s="34" t="n">
        <v>29.99</v>
      </c>
      <c r="G162" s="34" t="n">
        <v>89.97</v>
      </c>
      <c r="H162" s="30" t="n">
        <v>124.96</v>
      </c>
      <c r="I162" s="35" t="inlineStr">
        <is>
          <t>2026-05-05</t>
        </is>
      </c>
    </row>
    <row r="163">
      <c r="A163" s="9" t="n"/>
      <c r="B163" s="9" t="n"/>
      <c r="C163" s="9" t="n"/>
      <c r="D163" s="33" t="inlineStr">
        <is>
          <t>LED Desk Fan</t>
        </is>
      </c>
      <c r="E163" s="34" t="n">
        <v>1</v>
      </c>
      <c r="F163" s="34" t="n">
        <v>34.99</v>
      </c>
      <c r="G163" s="34" t="n">
        <v>34.99</v>
      </c>
      <c r="H163" s="9" t="n"/>
      <c r="I163" s="9" t="n"/>
    </row>
    <row r="164">
      <c r="A164" s="30" t="inlineStr">
        <is>
          <t>ORD-347</t>
        </is>
      </c>
      <c r="B164" s="31" t="inlineStr">
        <is>
          <t>Asha Shah</t>
        </is>
      </c>
      <c r="C164" s="32" t="inlineStr">
        <is>
          <t>Pending</t>
        </is>
      </c>
      <c r="D164" s="33" t="inlineStr">
        <is>
          <t>Noise Cancelling Earbuds</t>
        </is>
      </c>
      <c r="E164" s="34" t="n">
        <v>3</v>
      </c>
      <c r="F164" s="34" t="n">
        <v>129.99</v>
      </c>
      <c r="G164" s="34" t="n">
        <v>389.97</v>
      </c>
      <c r="H164" s="30" t="n">
        <v>469.95</v>
      </c>
      <c r="I164" s="35" t="inlineStr">
        <is>
          <t>2026-05-13</t>
        </is>
      </c>
    </row>
    <row r="165">
      <c r="A165" s="9" t="n"/>
      <c r="B165" s="9" t="n"/>
      <c r="C165" s="9" t="n"/>
      <c r="D165" s="33" t="inlineStr">
        <is>
          <t>Portable Charger</t>
        </is>
      </c>
      <c r="E165" s="34" t="n">
        <v>2</v>
      </c>
      <c r="F165" s="34" t="n">
        <v>39.99</v>
      </c>
      <c r="G165" s="34" t="n">
        <v>79.98</v>
      </c>
      <c r="H165" s="9" t="n"/>
      <c r="I165" s="9" t="n"/>
    </row>
    <row r="166">
      <c r="A166" s="46" t="inlineStr">
        <is>
          <t>ORD-558</t>
        </is>
      </c>
      <c r="B166" s="33" t="inlineStr">
        <is>
          <t>Asha Mehta</t>
        </is>
      </c>
      <c r="C166" s="47" t="inlineStr">
        <is>
          <t>Pending</t>
        </is>
      </c>
      <c r="D166" s="33" t="inlineStr">
        <is>
          <t>Bluetooth Speaker</t>
        </is>
      </c>
      <c r="E166" s="34" t="n">
        <v>1</v>
      </c>
      <c r="F166" s="34" t="n">
        <v>59.99</v>
      </c>
      <c r="G166" s="34" t="n">
        <v>59.99</v>
      </c>
      <c r="H166" s="48" t="n">
        <v>59.99</v>
      </c>
      <c r="I166" s="49" t="inlineStr">
        <is>
          <t>2026-04-27</t>
        </is>
      </c>
    </row>
    <row r="167">
      <c r="A167" s="30" t="inlineStr">
        <is>
          <t>ORD-413</t>
        </is>
      </c>
      <c r="B167" s="31" t="inlineStr">
        <is>
          <t>Rajesh Agarwal</t>
        </is>
      </c>
      <c r="C167" s="32" t="inlineStr">
        <is>
          <t>Pending</t>
        </is>
      </c>
      <c r="D167" s="33" t="inlineStr">
        <is>
          <t>Smart Plug</t>
        </is>
      </c>
      <c r="E167" s="34" t="n">
        <v>3</v>
      </c>
      <c r="F167" s="34" t="n">
        <v>17.99</v>
      </c>
      <c r="G167" s="34" t="n">
        <v>53.97</v>
      </c>
      <c r="H167" s="30" t="n">
        <v>313.95</v>
      </c>
      <c r="I167" s="35" t="inlineStr">
        <is>
          <t>2026-04-29</t>
        </is>
      </c>
    </row>
    <row r="168">
      <c r="A168" s="9" t="n"/>
      <c r="B168" s="9" t="n"/>
      <c r="C168" s="9" t="n"/>
      <c r="D168" s="33" t="inlineStr">
        <is>
          <t>Noise Cancelling Earbuds</t>
        </is>
      </c>
      <c r="E168" s="34" t="n">
        <v>2</v>
      </c>
      <c r="F168" s="34" t="n">
        <v>129.99</v>
      </c>
      <c r="G168" s="34" t="n">
        <v>259.98</v>
      </c>
      <c r="H168" s="9" t="n"/>
      <c r="I168" s="9" t="n"/>
    </row>
    <row r="169">
      <c r="A169" s="26" t="inlineStr">
        <is>
          <t>ORD-438</t>
        </is>
      </c>
      <c r="B169" s="27" t="inlineStr">
        <is>
          <t>Rajesh Singh</t>
        </is>
      </c>
      <c r="C169" s="28" t="inlineStr">
        <is>
          <t>Delivered</t>
        </is>
      </c>
      <c r="D169" s="11" t="inlineStr">
        <is>
          <t>Desk Lamp</t>
        </is>
      </c>
      <c r="E169" s="13" t="n">
        <v>2</v>
      </c>
      <c r="F169" s="13" t="n">
        <v>29.99</v>
      </c>
      <c r="G169" s="13" t="n">
        <v>59.98</v>
      </c>
      <c r="H169" s="26" t="n">
        <v>119.97</v>
      </c>
      <c r="I169" s="29" t="inlineStr">
        <is>
          <t>2026-04-09</t>
        </is>
      </c>
    </row>
    <row r="170">
      <c r="A170" s="9" t="n"/>
      <c r="B170" s="9" t="n"/>
      <c r="C170" s="9" t="n"/>
      <c r="D170" s="11" t="inlineStr">
        <is>
          <t>Bluetooth Speaker</t>
        </is>
      </c>
      <c r="E170" s="13" t="n">
        <v>1</v>
      </c>
      <c r="F170" s="13" t="n">
        <v>59.99</v>
      </c>
      <c r="G170" s="13" t="n">
        <v>59.99</v>
      </c>
      <c r="H170" s="9" t="n"/>
      <c r="I170" s="9" t="n"/>
    </row>
    <row r="171">
      <c r="A171" s="2" t="inlineStr">
        <is>
          <t>ORD-423</t>
        </is>
      </c>
      <c r="B171" s="3" t="inlineStr">
        <is>
          <t>Sunita Menon</t>
        </is>
      </c>
      <c r="C171" s="4" t="inlineStr">
        <is>
          <t>Shipped</t>
        </is>
      </c>
      <c r="D171" s="5" t="inlineStr">
        <is>
          <t>Monitor Stand</t>
        </is>
      </c>
      <c r="E171" s="6" t="n">
        <v>3</v>
      </c>
      <c r="F171" s="6" t="n">
        <v>35</v>
      </c>
      <c r="G171" s="6" t="n">
        <v>105</v>
      </c>
      <c r="H171" s="2" t="n">
        <v>554.96</v>
      </c>
      <c r="I171" s="7" t="inlineStr">
        <is>
          <t>2026-05-09</t>
        </is>
      </c>
    </row>
    <row r="172">
      <c r="A172" s="8" t="n"/>
      <c r="B172" s="8" t="n"/>
      <c r="C172" s="8" t="n"/>
      <c r="D172" s="5" t="inlineStr">
        <is>
          <t>Laptop Sleeve</t>
        </is>
      </c>
      <c r="E172" s="6" t="n">
        <v>2</v>
      </c>
      <c r="F172" s="6" t="n">
        <v>24.99</v>
      </c>
      <c r="G172" s="6" t="n">
        <v>49.98</v>
      </c>
      <c r="H172" s="8" t="n"/>
      <c r="I172" s="8" t="n"/>
    </row>
    <row r="173">
      <c r="A173" s="9" t="n"/>
      <c r="B173" s="9" t="n"/>
      <c r="C173" s="9" t="n"/>
      <c r="D173" s="5" t="inlineStr">
        <is>
          <t>Drawing Tablet</t>
        </is>
      </c>
      <c r="E173" s="6" t="n">
        <v>2</v>
      </c>
      <c r="F173" s="6" t="n">
        <v>199.99</v>
      </c>
      <c r="G173" s="6" t="n">
        <v>399.98</v>
      </c>
      <c r="H173" s="9" t="n"/>
      <c r="I173" s="9" t="n"/>
    </row>
    <row r="174">
      <c r="A174" s="16" t="inlineStr">
        <is>
          <t>ORD-711</t>
        </is>
      </c>
      <c r="B174" s="5" t="inlineStr">
        <is>
          <t>Aditya Kumar</t>
        </is>
      </c>
      <c r="C174" s="17" t="inlineStr">
        <is>
          <t>Shipped</t>
        </is>
      </c>
      <c r="D174" s="5" t="inlineStr">
        <is>
          <t>Laptop Sleeve</t>
        </is>
      </c>
      <c r="E174" s="6" t="n">
        <v>2</v>
      </c>
      <c r="F174" s="6" t="n">
        <v>24.99</v>
      </c>
      <c r="G174" s="6" t="n">
        <v>49.98</v>
      </c>
      <c r="H174" s="18" t="n">
        <v>49.98</v>
      </c>
      <c r="I174" s="19" t="inlineStr">
        <is>
          <t>2026-04-16</t>
        </is>
      </c>
    </row>
    <row r="175">
      <c r="A175" s="2" t="inlineStr">
        <is>
          <t>ORD-409</t>
        </is>
      </c>
      <c r="B175" s="3" t="inlineStr">
        <is>
          <t>Ananya Shah</t>
        </is>
      </c>
      <c r="C175" s="4" t="inlineStr">
        <is>
          <t>Shipped</t>
        </is>
      </c>
      <c r="D175" s="5" t="inlineStr">
        <is>
          <t>Webcam 1080p</t>
        </is>
      </c>
      <c r="E175" s="6" t="n">
        <v>1</v>
      </c>
      <c r="F175" s="6" t="n">
        <v>79.98999999999999</v>
      </c>
      <c r="G175" s="6" t="n">
        <v>79.98999999999999</v>
      </c>
      <c r="H175" s="2" t="n">
        <v>467.96</v>
      </c>
      <c r="I175" s="7" t="inlineStr">
        <is>
          <t>2026-05-16</t>
        </is>
      </c>
    </row>
    <row r="176">
      <c r="A176" s="8" t="n"/>
      <c r="B176" s="8" t="n"/>
      <c r="C176" s="8" t="n"/>
      <c r="D176" s="5" t="inlineStr">
        <is>
          <t>Desk Lamp</t>
        </is>
      </c>
      <c r="E176" s="6" t="n">
        <v>3</v>
      </c>
      <c r="F176" s="6" t="n">
        <v>29.99</v>
      </c>
      <c r="G176" s="6" t="n">
        <v>89.97</v>
      </c>
      <c r="H176" s="8" t="n"/>
      <c r="I176" s="8" t="n"/>
    </row>
    <row r="177">
      <c r="A177" s="9" t="n"/>
      <c r="B177" s="9" t="n"/>
      <c r="C177" s="9" t="n"/>
      <c r="D177" s="5" t="inlineStr">
        <is>
          <t>Mechanical Keyboard</t>
        </is>
      </c>
      <c r="E177" s="6" t="n">
        <v>2</v>
      </c>
      <c r="F177" s="6" t="n">
        <v>149</v>
      </c>
      <c r="G177" s="6" t="n">
        <v>298</v>
      </c>
      <c r="H177" s="9" t="n"/>
      <c r="I177" s="9" t="n"/>
    </row>
    <row r="178">
      <c r="A178" s="36" t="inlineStr">
        <is>
          <t>ORD-205</t>
        </is>
      </c>
      <c r="B178" s="37" t="inlineStr">
        <is>
          <t>Kavya Shah</t>
        </is>
      </c>
      <c r="C178" s="38" t="inlineStr">
        <is>
          <t>Delayed</t>
        </is>
      </c>
      <c r="D178" s="21" t="inlineStr">
        <is>
          <t>Bluetooth Speaker</t>
        </is>
      </c>
      <c r="E178" s="23" t="n">
        <v>2</v>
      </c>
      <c r="F178" s="23" t="n">
        <v>59.99</v>
      </c>
      <c r="G178" s="23" t="n">
        <v>119.98</v>
      </c>
      <c r="H178" s="36" t="n">
        <v>355.95</v>
      </c>
      <c r="I178" s="39" t="inlineStr">
        <is>
          <t>2026-04-05</t>
        </is>
      </c>
    </row>
    <row r="179">
      <c r="A179" s="8" t="n"/>
      <c r="B179" s="8" t="n"/>
      <c r="C179" s="8" t="n"/>
      <c r="D179" s="21" t="inlineStr">
        <is>
          <t>Smart Plug</t>
        </is>
      </c>
      <c r="E179" s="23" t="n">
        <v>2</v>
      </c>
      <c r="F179" s="23" t="n">
        <v>17.99</v>
      </c>
      <c r="G179" s="23" t="n">
        <v>35.98</v>
      </c>
      <c r="H179" s="8" t="n"/>
      <c r="I179" s="8" t="n"/>
    </row>
    <row r="180">
      <c r="A180" s="9" t="n"/>
      <c r="B180" s="9" t="n"/>
      <c r="C180" s="9" t="n"/>
      <c r="D180" s="21" t="inlineStr">
        <is>
          <t>Drawing Tablet</t>
        </is>
      </c>
      <c r="E180" s="23" t="n">
        <v>1</v>
      </c>
      <c r="F180" s="23" t="n">
        <v>199.99</v>
      </c>
      <c r="G180" s="23" t="n">
        <v>199.99</v>
      </c>
      <c r="H180" s="9" t="n"/>
      <c r="I180" s="9" t="n"/>
    </row>
    <row r="181">
      <c r="A181" s="36" t="inlineStr">
        <is>
          <t>ORD-216</t>
        </is>
      </c>
      <c r="B181" s="37" t="inlineStr">
        <is>
          <t>Arjun Reddy</t>
        </is>
      </c>
      <c r="C181" s="38" t="inlineStr">
        <is>
          <t>Delayed</t>
        </is>
      </c>
      <c r="D181" s="21" t="inlineStr">
        <is>
          <t>Smart Plug</t>
        </is>
      </c>
      <c r="E181" s="23" t="n">
        <v>3</v>
      </c>
      <c r="F181" s="23" t="n">
        <v>17.99</v>
      </c>
      <c r="G181" s="23" t="n">
        <v>53.97</v>
      </c>
      <c r="H181" s="36" t="n">
        <v>113.94</v>
      </c>
      <c r="I181" s="39" t="inlineStr">
        <is>
          <t>2026-05-15</t>
        </is>
      </c>
    </row>
    <row r="182">
      <c r="A182" s="9" t="n"/>
      <c r="B182" s="9" t="n"/>
      <c r="C182" s="9" t="n"/>
      <c r="D182" s="21" t="inlineStr">
        <is>
          <t>Mouse Pad</t>
        </is>
      </c>
      <c r="E182" s="23" t="n">
        <v>3</v>
      </c>
      <c r="F182" s="23" t="n">
        <v>19.99</v>
      </c>
      <c r="G182" s="23" t="n">
        <v>59.97</v>
      </c>
      <c r="H182" s="9" t="n"/>
      <c r="I182" s="9" t="n"/>
    </row>
    <row r="183">
      <c r="A183" s="36" t="inlineStr">
        <is>
          <t>ORD-252</t>
        </is>
      </c>
      <c r="B183" s="37" t="inlineStr">
        <is>
          <t>Nikhil Mishra</t>
        </is>
      </c>
      <c r="C183" s="38" t="inlineStr">
        <is>
          <t>Delayed</t>
        </is>
      </c>
      <c r="D183" s="21" t="inlineStr">
        <is>
          <t>Mouse Pad</t>
        </is>
      </c>
      <c r="E183" s="23" t="n">
        <v>1</v>
      </c>
      <c r="F183" s="23" t="n">
        <v>19.99</v>
      </c>
      <c r="G183" s="23" t="n">
        <v>19.99</v>
      </c>
      <c r="H183" s="36" t="n">
        <v>139.96</v>
      </c>
      <c r="I183" s="39" t="inlineStr">
        <is>
          <t>2026-04-28</t>
        </is>
      </c>
    </row>
    <row r="184">
      <c r="A184" s="9" t="n"/>
      <c r="B184" s="9" t="n"/>
      <c r="C184" s="9" t="n"/>
      <c r="D184" s="21" t="inlineStr">
        <is>
          <t>Portable Charger</t>
        </is>
      </c>
      <c r="E184" s="23" t="n">
        <v>3</v>
      </c>
      <c r="F184" s="23" t="n">
        <v>39.99</v>
      </c>
      <c r="G184" s="23" t="n">
        <v>119.97</v>
      </c>
      <c r="H184" s="9" t="n"/>
      <c r="I184" s="9" t="n"/>
    </row>
    <row r="185">
      <c r="A185" s="26" t="inlineStr">
        <is>
          <t>ORD-909</t>
        </is>
      </c>
      <c r="B185" s="27" t="inlineStr">
        <is>
          <t>Lakshmi Mishra</t>
        </is>
      </c>
      <c r="C185" s="28" t="inlineStr">
        <is>
          <t>Delivered</t>
        </is>
      </c>
      <c r="D185" s="11" t="inlineStr">
        <is>
          <t>Ergonomic Mouse</t>
        </is>
      </c>
      <c r="E185" s="13" t="n">
        <v>2</v>
      </c>
      <c r="F185" s="13" t="n">
        <v>49.99</v>
      </c>
      <c r="G185" s="13" t="n">
        <v>99.98</v>
      </c>
      <c r="H185" s="26" t="n">
        <v>538.9299999999999</v>
      </c>
      <c r="I185" s="29" t="inlineStr">
        <is>
          <t>2026-04-21</t>
        </is>
      </c>
    </row>
    <row r="186">
      <c r="A186" s="8" t="n"/>
      <c r="B186" s="8" t="n"/>
      <c r="C186" s="8" t="n"/>
      <c r="D186" s="11" t="inlineStr">
        <is>
          <t>Screen Cleaner Kit</t>
        </is>
      </c>
      <c r="E186" s="13" t="n">
        <v>3</v>
      </c>
      <c r="F186" s="13" t="n">
        <v>12.99</v>
      </c>
      <c r="G186" s="13" t="n">
        <v>38.97</v>
      </c>
      <c r="H186" s="8" t="n"/>
      <c r="I186" s="8" t="n"/>
    </row>
    <row r="187">
      <c r="A187" s="9" t="n"/>
      <c r="B187" s="9" t="n"/>
      <c r="C187" s="9" t="n"/>
      <c r="D187" s="11" t="inlineStr">
        <is>
          <t>Drawing Tablet</t>
        </is>
      </c>
      <c r="E187" s="13" t="n">
        <v>2</v>
      </c>
      <c r="F187" s="13" t="n">
        <v>199.99</v>
      </c>
      <c r="G187" s="13" t="n">
        <v>399.98</v>
      </c>
      <c r="H187" s="9" t="n"/>
      <c r="I187" s="9" t="n"/>
    </row>
    <row r="188">
      <c r="A188" s="26" t="inlineStr">
        <is>
          <t>ORD-161</t>
        </is>
      </c>
      <c r="B188" s="27" t="inlineStr">
        <is>
          <t>Sanjay Kumar</t>
        </is>
      </c>
      <c r="C188" s="28" t="inlineStr">
        <is>
          <t>Delivered</t>
        </is>
      </c>
      <c r="D188" s="11" t="inlineStr">
        <is>
          <t>USB-C Hub</t>
        </is>
      </c>
      <c r="E188" s="13" t="n">
        <v>2</v>
      </c>
      <c r="F188" s="13" t="n">
        <v>45.99</v>
      </c>
      <c r="G188" s="13" t="n">
        <v>91.98</v>
      </c>
      <c r="H188" s="26" t="n">
        <v>366.94</v>
      </c>
      <c r="I188" s="29" t="inlineStr">
        <is>
          <t>2026-04-12</t>
        </is>
      </c>
    </row>
    <row r="189">
      <c r="A189" s="8" t="n"/>
      <c r="B189" s="8" t="n"/>
      <c r="C189" s="8" t="n"/>
      <c r="D189" s="11" t="inlineStr">
        <is>
          <t>Laptop Sleeve</t>
        </is>
      </c>
      <c r="E189" s="13" t="n">
        <v>3</v>
      </c>
      <c r="F189" s="13" t="n">
        <v>24.99</v>
      </c>
      <c r="G189" s="13" t="n">
        <v>74.97</v>
      </c>
      <c r="H189" s="8" t="n"/>
      <c r="I189" s="8" t="n"/>
    </row>
    <row r="190">
      <c r="A190" s="9" t="n"/>
      <c r="B190" s="9" t="n"/>
      <c r="C190" s="9" t="n"/>
      <c r="D190" s="11" t="inlineStr">
        <is>
          <t>Drawing Tablet</t>
        </is>
      </c>
      <c r="E190" s="13" t="n">
        <v>1</v>
      </c>
      <c r="F190" s="13" t="n">
        <v>199.99</v>
      </c>
      <c r="G190" s="13" t="n">
        <v>199.99</v>
      </c>
      <c r="H190" s="9" t="n"/>
      <c r="I190" s="9" t="n"/>
    </row>
    <row r="191">
      <c r="A191" s="16" t="inlineStr">
        <is>
          <t>ORD-665</t>
        </is>
      </c>
      <c r="B191" s="5" t="inlineStr">
        <is>
          <t>Nikhil Shah</t>
        </is>
      </c>
      <c r="C191" s="17" t="inlineStr">
        <is>
          <t>Shipped</t>
        </is>
      </c>
      <c r="D191" s="5" t="inlineStr">
        <is>
          <t>Keyboard Wrist Rest</t>
        </is>
      </c>
      <c r="E191" s="6" t="n">
        <v>2</v>
      </c>
      <c r="F191" s="6" t="n">
        <v>22.99</v>
      </c>
      <c r="G191" s="6" t="n">
        <v>45.98</v>
      </c>
      <c r="H191" s="18" t="n">
        <v>45.98</v>
      </c>
      <c r="I191" s="19" t="inlineStr">
        <is>
          <t>2026-05-16</t>
        </is>
      </c>
    </row>
    <row r="192">
      <c r="A192" s="2" t="inlineStr">
        <is>
          <t>ORD-398</t>
        </is>
      </c>
      <c r="B192" s="3" t="inlineStr">
        <is>
          <t>Ajay Gupta</t>
        </is>
      </c>
      <c r="C192" s="4" t="inlineStr">
        <is>
          <t>Shipped</t>
        </is>
      </c>
      <c r="D192" s="5" t="inlineStr">
        <is>
          <t>Bluetooth Speaker</t>
        </is>
      </c>
      <c r="E192" s="6" t="n">
        <v>1</v>
      </c>
      <c r="F192" s="6" t="n">
        <v>59.99</v>
      </c>
      <c r="G192" s="6" t="n">
        <v>59.99</v>
      </c>
      <c r="H192" s="2" t="n">
        <v>98.95999999999999</v>
      </c>
      <c r="I192" s="7" t="inlineStr">
        <is>
          <t>2026-04-16</t>
        </is>
      </c>
    </row>
    <row r="193">
      <c r="A193" s="9" t="n"/>
      <c r="B193" s="9" t="n"/>
      <c r="C193" s="9" t="n"/>
      <c r="D193" s="5" t="inlineStr">
        <is>
          <t>Screen Cleaner Kit</t>
        </is>
      </c>
      <c r="E193" s="6" t="n">
        <v>3</v>
      </c>
      <c r="F193" s="6" t="n">
        <v>12.99</v>
      </c>
      <c r="G193" s="6" t="n">
        <v>38.97</v>
      </c>
      <c r="H193" s="9" t="n"/>
      <c r="I193" s="9" t="n"/>
    </row>
    <row r="194">
      <c r="A194" s="30" t="inlineStr">
        <is>
          <t>ORD-906</t>
        </is>
      </c>
      <c r="B194" s="31" t="inlineStr">
        <is>
          <t>Ajay Gupta</t>
        </is>
      </c>
      <c r="C194" s="32" t="inlineStr">
        <is>
          <t>Pending</t>
        </is>
      </c>
      <c r="D194" s="33" t="inlineStr">
        <is>
          <t>Laptop Sleeve</t>
        </is>
      </c>
      <c r="E194" s="34" t="n">
        <v>3</v>
      </c>
      <c r="F194" s="34" t="n">
        <v>24.99</v>
      </c>
      <c r="G194" s="34" t="n">
        <v>74.97</v>
      </c>
      <c r="H194" s="30" t="n">
        <v>235.93</v>
      </c>
      <c r="I194" s="35" t="inlineStr">
        <is>
          <t>2026-04-11</t>
        </is>
      </c>
    </row>
    <row r="195">
      <c r="A195" s="8" t="n"/>
      <c r="B195" s="8" t="n"/>
      <c r="C195" s="8" t="n"/>
      <c r="D195" s="33" t="inlineStr">
        <is>
          <t>Keyboard Wrist Rest</t>
        </is>
      </c>
      <c r="E195" s="34" t="n">
        <v>1</v>
      </c>
      <c r="F195" s="34" t="n">
        <v>22.99</v>
      </c>
      <c r="G195" s="34" t="n">
        <v>22.99</v>
      </c>
      <c r="H195" s="8" t="n"/>
      <c r="I195" s="8" t="n"/>
    </row>
    <row r="196">
      <c r="A196" s="9" t="n"/>
      <c r="B196" s="9" t="n"/>
      <c r="C196" s="9" t="n"/>
      <c r="D196" s="33" t="inlineStr">
        <is>
          <t>USB-C Hub</t>
        </is>
      </c>
      <c r="E196" s="34" t="n">
        <v>3</v>
      </c>
      <c r="F196" s="34" t="n">
        <v>45.99</v>
      </c>
      <c r="G196" s="34" t="n">
        <v>137.97</v>
      </c>
      <c r="H196" s="9" t="n"/>
      <c r="I196" s="9" t="n"/>
    </row>
    <row r="197">
      <c r="A197" s="16" t="inlineStr">
        <is>
          <t>ORD-946</t>
        </is>
      </c>
      <c r="B197" s="5" t="inlineStr">
        <is>
          <t>Rajesh Kapoor</t>
        </is>
      </c>
      <c r="C197" s="17" t="inlineStr">
        <is>
          <t>Shipped</t>
        </is>
      </c>
      <c r="D197" s="5" t="inlineStr">
        <is>
          <t>Monitor Stand</t>
        </is>
      </c>
      <c r="E197" s="6" t="n">
        <v>2</v>
      </c>
      <c r="F197" s="6" t="n">
        <v>35</v>
      </c>
      <c r="G197" s="6" t="n">
        <v>70</v>
      </c>
      <c r="H197" s="18" t="n">
        <v>70</v>
      </c>
      <c r="I197" s="19" t="inlineStr">
        <is>
          <t>2026-05-10</t>
        </is>
      </c>
    </row>
    <row r="198">
      <c r="A198" s="26" t="inlineStr">
        <is>
          <t>ORD-395</t>
        </is>
      </c>
      <c r="B198" s="27" t="inlineStr">
        <is>
          <t>Karan Desai</t>
        </is>
      </c>
      <c r="C198" s="28" t="inlineStr">
        <is>
          <t>Delivered</t>
        </is>
      </c>
      <c r="D198" s="11" t="inlineStr">
        <is>
          <t>Bluetooth Speaker</t>
        </is>
      </c>
      <c r="E198" s="13" t="n">
        <v>2</v>
      </c>
      <c r="F198" s="13" t="n">
        <v>59.99</v>
      </c>
      <c r="G198" s="13" t="n">
        <v>119.98</v>
      </c>
      <c r="H198" s="26" t="n">
        <v>269.95</v>
      </c>
      <c r="I198" s="29" t="inlineStr">
        <is>
          <t>2026-05-06</t>
        </is>
      </c>
    </row>
    <row r="199">
      <c r="A199" s="9" t="n"/>
      <c r="B199" s="9" t="n"/>
      <c r="C199" s="9" t="n"/>
      <c r="D199" s="11" t="inlineStr">
        <is>
          <t>Ergonomic Mouse</t>
        </is>
      </c>
      <c r="E199" s="13" t="n">
        <v>3</v>
      </c>
      <c r="F199" s="13" t="n">
        <v>49.99</v>
      </c>
      <c r="G199" s="13" t="n">
        <v>149.97</v>
      </c>
      <c r="H199" s="9" t="n"/>
      <c r="I199" s="9" t="n"/>
    </row>
    <row r="200">
      <c r="A200" s="26" t="inlineStr">
        <is>
          <t>ORD-182</t>
        </is>
      </c>
      <c r="B200" s="27" t="inlineStr">
        <is>
          <t>Varun Kapoor</t>
        </is>
      </c>
      <c r="C200" s="28" t="inlineStr">
        <is>
          <t>Delivered</t>
        </is>
      </c>
      <c r="D200" s="11" t="inlineStr">
        <is>
          <t>Phone Stand</t>
        </is>
      </c>
      <c r="E200" s="13" t="n">
        <v>1</v>
      </c>
      <c r="F200" s="13" t="n">
        <v>14.99</v>
      </c>
      <c r="G200" s="13" t="n">
        <v>14.99</v>
      </c>
      <c r="H200" s="26" t="n">
        <v>44.98</v>
      </c>
      <c r="I200" s="29" t="inlineStr">
        <is>
          <t>2026-04-16</t>
        </is>
      </c>
    </row>
    <row r="201">
      <c r="A201" s="9" t="n"/>
      <c r="B201" s="9" t="n"/>
      <c r="C201" s="9" t="n"/>
      <c r="D201" s="11" t="inlineStr">
        <is>
          <t>Desk Lamp</t>
        </is>
      </c>
      <c r="E201" s="13" t="n">
        <v>1</v>
      </c>
      <c r="F201" s="13" t="n">
        <v>29.99</v>
      </c>
      <c r="G201" s="13" t="n">
        <v>29.99</v>
      </c>
      <c r="H201" s="9" t="n"/>
      <c r="I201" s="9" t="n"/>
    </row>
    <row r="202">
      <c r="A202" s="40" t="inlineStr">
        <is>
          <t>ORD-701</t>
        </is>
      </c>
      <c r="B202" s="41" t="inlineStr">
        <is>
          <t>Sneha Gupta</t>
        </is>
      </c>
      <c r="C202" s="42" t="inlineStr">
        <is>
          <t>Cancelled</t>
        </is>
      </c>
      <c r="D202" s="43" t="inlineStr">
        <is>
          <t>Desk Lamp</t>
        </is>
      </c>
      <c r="E202" s="44" t="n">
        <v>1</v>
      </c>
      <c r="F202" s="44" t="n">
        <v>29.99</v>
      </c>
      <c r="G202" s="44" t="n">
        <v>29.99</v>
      </c>
      <c r="H202" s="40" t="n">
        <v>876.97</v>
      </c>
      <c r="I202" s="45" t="inlineStr">
        <is>
          <t>2026-05-13</t>
        </is>
      </c>
    </row>
    <row r="203">
      <c r="A203" s="8" t="n"/>
      <c r="B203" s="8" t="n"/>
      <c r="C203" s="8" t="n"/>
      <c r="D203" s="43" t="inlineStr">
        <is>
          <t>Drawing Tablet</t>
        </is>
      </c>
      <c r="E203" s="44" t="n">
        <v>2</v>
      </c>
      <c r="F203" s="44" t="n">
        <v>199.99</v>
      </c>
      <c r="G203" s="44" t="n">
        <v>399.98</v>
      </c>
      <c r="H203" s="8" t="n"/>
      <c r="I203" s="8" t="n"/>
    </row>
    <row r="204">
      <c r="A204" s="9" t="n"/>
      <c r="B204" s="9" t="n"/>
      <c r="C204" s="9" t="n"/>
      <c r="D204" s="43" t="inlineStr">
        <is>
          <t>Mechanical Keyboard</t>
        </is>
      </c>
      <c r="E204" s="44" t="n">
        <v>3</v>
      </c>
      <c r="F204" s="44" t="n">
        <v>149</v>
      </c>
      <c r="G204" s="44" t="n">
        <v>447</v>
      </c>
      <c r="H204" s="9" t="n"/>
      <c r="I204" s="9" t="n"/>
    </row>
  </sheetData>
  <mergeCells count="335">
    <mergeCell ref="I32:I33"/>
    <mergeCell ref="A81:A83"/>
    <mergeCell ref="C81:C83"/>
    <mergeCell ref="I57:I58"/>
    <mergeCell ref="H125:H127"/>
    <mergeCell ref="I153:I155"/>
    <mergeCell ref="I121:I122"/>
    <mergeCell ref="A151:A152"/>
    <mergeCell ref="B202:B204"/>
    <mergeCell ref="I123:I124"/>
    <mergeCell ref="A84:A86"/>
    <mergeCell ref="C27:C28"/>
    <mergeCell ref="I60:I61"/>
    <mergeCell ref="H46:H48"/>
    <mergeCell ref="H8:H9"/>
    <mergeCell ref="H153:H155"/>
    <mergeCell ref="B178:B180"/>
    <mergeCell ref="H121:H122"/>
    <mergeCell ref="B140:B141"/>
    <mergeCell ref="B171:B173"/>
    <mergeCell ref="A175:A177"/>
    <mergeCell ref="I20:I22"/>
    <mergeCell ref="B148:B149"/>
    <mergeCell ref="I151:I152"/>
    <mergeCell ref="I200:I201"/>
    <mergeCell ref="A112:A114"/>
    <mergeCell ref="A74:A75"/>
    <mergeCell ref="I65:I67"/>
    <mergeCell ref="H110:H111"/>
    <mergeCell ref="B125:B127"/>
    <mergeCell ref="C138:C139"/>
    <mergeCell ref="C145:C147"/>
    <mergeCell ref="C51:C52"/>
    <mergeCell ref="A140:A141"/>
    <mergeCell ref="B108:B109"/>
    <mergeCell ref="C140:C141"/>
    <mergeCell ref="B32:B33"/>
    <mergeCell ref="I91:I93"/>
    <mergeCell ref="A71:A73"/>
    <mergeCell ref="B103:B105"/>
    <mergeCell ref="C71:C73"/>
    <mergeCell ref="A94:A95"/>
    <mergeCell ref="H159:H161"/>
    <mergeCell ref="A125:A127"/>
    <mergeCell ref="A2:A4"/>
    <mergeCell ref="C2:C4"/>
    <mergeCell ref="B121:B122"/>
    <mergeCell ref="H77:H79"/>
    <mergeCell ref="B167:B168"/>
    <mergeCell ref="H62:H64"/>
    <mergeCell ref="H123:H124"/>
    <mergeCell ref="H60:H61"/>
    <mergeCell ref="C68:C70"/>
    <mergeCell ref="I84:I86"/>
    <mergeCell ref="B194:B196"/>
    <mergeCell ref="B162:B163"/>
    <mergeCell ref="I8:I9"/>
    <mergeCell ref="C97:C99"/>
    <mergeCell ref="B164:B165"/>
    <mergeCell ref="I175:I177"/>
    <mergeCell ref="A178:A180"/>
    <mergeCell ref="B2:B4"/>
    <mergeCell ref="I94:I95"/>
    <mergeCell ref="B116:B118"/>
    <mergeCell ref="C171:C173"/>
    <mergeCell ref="I74:I75"/>
    <mergeCell ref="A148:A149"/>
    <mergeCell ref="H151:H152"/>
    <mergeCell ref="H200:H201"/>
    <mergeCell ref="H84:H86"/>
    <mergeCell ref="H65:H67"/>
    <mergeCell ref="H108:H109"/>
    <mergeCell ref="C77:C79"/>
    <mergeCell ref="A108:A109"/>
    <mergeCell ref="A32:A33"/>
    <mergeCell ref="H32:H33"/>
    <mergeCell ref="A103:A105"/>
    <mergeCell ref="B71:B73"/>
    <mergeCell ref="C103:C105"/>
    <mergeCell ref="I125:I127"/>
    <mergeCell ref="I112:I114"/>
    <mergeCell ref="C200:C201"/>
    <mergeCell ref="A169:A170"/>
    <mergeCell ref="B68:B70"/>
    <mergeCell ref="A29:A31"/>
    <mergeCell ref="A134:A136"/>
    <mergeCell ref="A23:A25"/>
    <mergeCell ref="A194:A196"/>
    <mergeCell ref="C23:C25"/>
    <mergeCell ref="B84:B86"/>
    <mergeCell ref="C194:C196"/>
    <mergeCell ref="I178:I180"/>
    <mergeCell ref="A162:A163"/>
    <mergeCell ref="A27:A28"/>
    <mergeCell ref="I202:I204"/>
    <mergeCell ref="C87:C89"/>
    <mergeCell ref="A164:A165"/>
    <mergeCell ref="H175:H177"/>
    <mergeCell ref="C164:C165"/>
    <mergeCell ref="H94:H95"/>
    <mergeCell ref="C116:C118"/>
    <mergeCell ref="C57:C58"/>
    <mergeCell ref="B183:B184"/>
    <mergeCell ref="A53:A54"/>
    <mergeCell ref="B23:B25"/>
    <mergeCell ref="A167:A168"/>
    <mergeCell ref="I171:I173"/>
    <mergeCell ref="I108:I109"/>
    <mergeCell ref="C162:C163"/>
    <mergeCell ref="H71:H73"/>
    <mergeCell ref="B188:B190"/>
    <mergeCell ref="A142:A144"/>
    <mergeCell ref="A202:A204"/>
    <mergeCell ref="I167:I168"/>
    <mergeCell ref="I148:I149"/>
    <mergeCell ref="B198:B199"/>
    <mergeCell ref="H20:H22"/>
    <mergeCell ref="B11:B13"/>
    <mergeCell ref="I194:I196"/>
    <mergeCell ref="B29:B31"/>
    <mergeCell ref="A188:A190"/>
    <mergeCell ref="C188:C190"/>
    <mergeCell ref="H178:H180"/>
    <mergeCell ref="B87:B89"/>
    <mergeCell ref="H148:H149"/>
    <mergeCell ref="B57:B58"/>
    <mergeCell ref="I53:I54"/>
    <mergeCell ref="A183:A184"/>
    <mergeCell ref="C183:C184"/>
    <mergeCell ref="B153:B155"/>
    <mergeCell ref="H100:H101"/>
    <mergeCell ref="H171:H173"/>
    <mergeCell ref="C20:C22"/>
    <mergeCell ref="C185:C187"/>
    <mergeCell ref="A87:A89"/>
    <mergeCell ref="C112:C114"/>
    <mergeCell ref="B77:B79"/>
    <mergeCell ref="I169:I170"/>
    <mergeCell ref="I134:I136"/>
    <mergeCell ref="B110:B111"/>
    <mergeCell ref="C134:C136"/>
    <mergeCell ref="I71:I73"/>
    <mergeCell ref="I27:I28"/>
    <mergeCell ref="A138:A139"/>
    <mergeCell ref="A145:A147"/>
    <mergeCell ref="I164:I165"/>
    <mergeCell ref="H192:H193"/>
    <mergeCell ref="H167:H168"/>
    <mergeCell ref="C35:C36"/>
    <mergeCell ref="A198:A199"/>
    <mergeCell ref="C198:C199"/>
    <mergeCell ref="A77:A79"/>
    <mergeCell ref="H169:H170"/>
    <mergeCell ref="H134:H136"/>
    <mergeCell ref="H23:H25"/>
    <mergeCell ref="B159:B161"/>
    <mergeCell ref="B97:B99"/>
    <mergeCell ref="C110:C111"/>
    <mergeCell ref="H27:H28"/>
    <mergeCell ref="H41:H43"/>
    <mergeCell ref="B123:B124"/>
    <mergeCell ref="I188:I190"/>
    <mergeCell ref="I183:I184"/>
    <mergeCell ref="A46:A48"/>
    <mergeCell ref="C46:C48"/>
    <mergeCell ref="H53:H54"/>
    <mergeCell ref="C153:C155"/>
    <mergeCell ref="C94:C95"/>
    <mergeCell ref="C121:C122"/>
    <mergeCell ref="B157:B158"/>
    <mergeCell ref="C123:C124"/>
    <mergeCell ref="B20:B22"/>
    <mergeCell ref="B151:B152"/>
    <mergeCell ref="A171:A173"/>
    <mergeCell ref="I81:I83"/>
    <mergeCell ref="I145:I147"/>
    <mergeCell ref="H29:H31"/>
    <mergeCell ref="I51:I52"/>
    <mergeCell ref="B134:B136"/>
    <mergeCell ref="A41:A43"/>
    <mergeCell ref="C41:C43"/>
    <mergeCell ref="H142:H144"/>
    <mergeCell ref="H202:H204"/>
    <mergeCell ref="C151:C152"/>
    <mergeCell ref="B35:B36"/>
    <mergeCell ref="B106:B107"/>
    <mergeCell ref="C130:C132"/>
    <mergeCell ref="I198:I199"/>
    <mergeCell ref="I29:I31"/>
    <mergeCell ref="I23:I25"/>
    <mergeCell ref="A159:A161"/>
    <mergeCell ref="A97:A99"/>
    <mergeCell ref="C159:C161"/>
    <mergeCell ref="C100:C101"/>
    <mergeCell ref="C125:C127"/>
    <mergeCell ref="C62:C64"/>
    <mergeCell ref="C60:C61"/>
    <mergeCell ref="H183:H184"/>
    <mergeCell ref="B130:B132"/>
    <mergeCell ref="C32:C33"/>
    <mergeCell ref="B46:B48"/>
    <mergeCell ref="I138:I139"/>
    <mergeCell ref="H198:H199"/>
    <mergeCell ref="A16:A18"/>
    <mergeCell ref="I140:I141"/>
    <mergeCell ref="C16:C18"/>
    <mergeCell ref="B175:B177"/>
    <mergeCell ref="B94:B95"/>
    <mergeCell ref="A49:A50"/>
    <mergeCell ref="C49:C50"/>
    <mergeCell ref="B112:B114"/>
    <mergeCell ref="A116:A118"/>
    <mergeCell ref="A157:A158"/>
    <mergeCell ref="H74:H75"/>
    <mergeCell ref="C11:C13"/>
    <mergeCell ref="H81:H83"/>
    <mergeCell ref="I181:I182"/>
    <mergeCell ref="H138:H139"/>
    <mergeCell ref="H145:H147"/>
    <mergeCell ref="H51:H52"/>
    <mergeCell ref="H38:H40"/>
    <mergeCell ref="B185:B187"/>
    <mergeCell ref="B41:B43"/>
    <mergeCell ref="B16:B18"/>
    <mergeCell ref="B49:B50"/>
    <mergeCell ref="A106:A107"/>
    <mergeCell ref="C106:C107"/>
    <mergeCell ref="I159:I161"/>
    <mergeCell ref="I97:I99"/>
    <mergeCell ref="I192:I193"/>
    <mergeCell ref="H2:H4"/>
    <mergeCell ref="C157:C158"/>
    <mergeCell ref="H35:H36"/>
    <mergeCell ref="B100:B101"/>
    <mergeCell ref="H140:H141"/>
    <mergeCell ref="A100:A101"/>
    <mergeCell ref="I157:I158"/>
    <mergeCell ref="C175:C177"/>
    <mergeCell ref="C53:C54"/>
    <mergeCell ref="I103:I105"/>
    <mergeCell ref="H181:H182"/>
    <mergeCell ref="A20:A22"/>
    <mergeCell ref="A51:A52"/>
    <mergeCell ref="I38:I40"/>
    <mergeCell ref="A38:A40"/>
    <mergeCell ref="C38:C40"/>
    <mergeCell ref="A130:A132"/>
    <mergeCell ref="A68:A70"/>
    <mergeCell ref="I106:I107"/>
    <mergeCell ref="I162:I163"/>
    <mergeCell ref="H103:H105"/>
    <mergeCell ref="H97:H99"/>
    <mergeCell ref="B62:B64"/>
    <mergeCell ref="B192:B193"/>
    <mergeCell ref="I116:I118"/>
    <mergeCell ref="I35:I36"/>
    <mergeCell ref="A35:A36"/>
    <mergeCell ref="B169:B170"/>
    <mergeCell ref="I68:I70"/>
    <mergeCell ref="C84:C86"/>
    <mergeCell ref="H194:H196"/>
    <mergeCell ref="A185:A187"/>
    <mergeCell ref="A110:A111"/>
    <mergeCell ref="B27:B28"/>
    <mergeCell ref="H16:H18"/>
    <mergeCell ref="H87:H89"/>
    <mergeCell ref="C178:C180"/>
    <mergeCell ref="I142:I144"/>
    <mergeCell ref="H164:H165"/>
    <mergeCell ref="H49:H50"/>
    <mergeCell ref="H116:H118"/>
    <mergeCell ref="H157:H158"/>
    <mergeCell ref="H91:H93"/>
    <mergeCell ref="B60:B61"/>
    <mergeCell ref="C148:C149"/>
    <mergeCell ref="I46:I48"/>
    <mergeCell ref="B53:B54"/>
    <mergeCell ref="I2:I4"/>
    <mergeCell ref="A8:A9"/>
    <mergeCell ref="A57:A58"/>
    <mergeCell ref="C8:C9"/>
    <mergeCell ref="A153:A155"/>
    <mergeCell ref="A121:A122"/>
    <mergeCell ref="A181:A182"/>
    <mergeCell ref="I185:I187"/>
    <mergeCell ref="I41:I43"/>
    <mergeCell ref="C181:C182"/>
    <mergeCell ref="C74:C75"/>
    <mergeCell ref="H11:H13"/>
    <mergeCell ref="B200:B201"/>
    <mergeCell ref="H162:H163"/>
    <mergeCell ref="B38:B40"/>
    <mergeCell ref="H106:H107"/>
    <mergeCell ref="I130:I132"/>
    <mergeCell ref="B65:B67"/>
    <mergeCell ref="B8:B9"/>
    <mergeCell ref="B142:B144"/>
    <mergeCell ref="A62:A64"/>
    <mergeCell ref="I100:I101"/>
    <mergeCell ref="A192:A193"/>
    <mergeCell ref="C192:C193"/>
    <mergeCell ref="C167:C168"/>
    <mergeCell ref="H57:H58"/>
    <mergeCell ref="B91:B93"/>
    <mergeCell ref="C169:C170"/>
    <mergeCell ref="C29:C31"/>
    <mergeCell ref="H130:H132"/>
    <mergeCell ref="A65:A67"/>
    <mergeCell ref="H68:H70"/>
    <mergeCell ref="C202:C204"/>
    <mergeCell ref="I16:I18"/>
    <mergeCell ref="I87:I89"/>
    <mergeCell ref="I49:I50"/>
    <mergeCell ref="A123:A124"/>
    <mergeCell ref="A60:A61"/>
    <mergeCell ref="A91:A93"/>
    <mergeCell ref="C91:C93"/>
    <mergeCell ref="H185:H187"/>
    <mergeCell ref="B181:B182"/>
    <mergeCell ref="H112:H114"/>
    <mergeCell ref="B74:B75"/>
    <mergeCell ref="B81:B83"/>
    <mergeCell ref="I77:I79"/>
    <mergeCell ref="I11:I13"/>
    <mergeCell ref="A200:A201"/>
    <mergeCell ref="A11:A13"/>
    <mergeCell ref="I110:I111"/>
    <mergeCell ref="B138:B139"/>
    <mergeCell ref="B145:B147"/>
    <mergeCell ref="B51:B52"/>
    <mergeCell ref="I62:I64"/>
    <mergeCell ref="C65:C67"/>
    <mergeCell ref="H188:H190"/>
    <mergeCell ref="C108:C109"/>
    <mergeCell ref="C142:C1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54" t="inlineStr">
        <is>
          <t>Status</t>
        </is>
      </c>
      <c r="B1" s="54" t="inlineStr">
        <is>
          <t>Order Count</t>
        </is>
      </c>
      <c r="C1" s="54" t="inlineStr">
        <is>
          <t>Total Revenue ($)</t>
        </is>
      </c>
    </row>
    <row r="2">
      <c r="A2" s="55" t="inlineStr">
        <is>
          <t>Shipped</t>
        </is>
      </c>
      <c r="B2" s="55">
        <f>COUNTIF(Orders!C:C,"Shipped")</f>
        <v/>
      </c>
      <c r="C2" s="55">
        <f>SUMIF(Orders!C:C,"Shipped",Orders!H:H)</f>
        <v/>
      </c>
    </row>
    <row r="3">
      <c r="A3" s="55" t="inlineStr">
        <is>
          <t>Delivered</t>
        </is>
      </c>
      <c r="B3" s="55">
        <f>COUNTIF(Orders!C:C,"Delivered")</f>
        <v/>
      </c>
      <c r="C3" s="55">
        <f>SUMIF(Orders!C:C,"Delivered",Orders!H:H)</f>
        <v/>
      </c>
    </row>
    <row r="4">
      <c r="A4" s="55" t="inlineStr">
        <is>
          <t>Pending</t>
        </is>
      </c>
      <c r="B4" s="55">
        <f>COUNTIF(Orders!C:C,"Pending")</f>
        <v/>
      </c>
      <c r="C4" s="55">
        <f>SUMIF(Orders!C:C,"Pending",Orders!H:H)</f>
        <v/>
      </c>
    </row>
    <row r="5">
      <c r="A5" s="55" t="inlineStr">
        <is>
          <t>Delayed</t>
        </is>
      </c>
      <c r="B5" s="55">
        <f>COUNTIF(Orders!C:C,"Delayed")</f>
        <v/>
      </c>
      <c r="C5" s="55">
        <f>SUMIF(Orders!C:C,"Delayed",Orders!H:H)</f>
        <v/>
      </c>
    </row>
    <row r="6">
      <c r="A6" s="55" t="inlineStr">
        <is>
          <t>Cancelled</t>
        </is>
      </c>
      <c r="B6" s="55">
        <f>COUNTIF(Orders!C:C,"Cancelled")</f>
        <v/>
      </c>
      <c r="C6" s="55">
        <f>SUMIF(Orders!C:C,"Cancelled",Orders!H:H)</f>
        <v/>
      </c>
    </row>
    <row r="7">
      <c r="A7" s="56" t="inlineStr">
        <is>
          <t>Total</t>
        </is>
      </c>
      <c r="B7" s="56">
        <f>SUM(B2:B6)</f>
        <v/>
      </c>
      <c r="C7" s="56">
        <f>SUM(C2:C6)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2026-05-07T08:25:11Z</dcterms:created>
  <dcterms:modified xmlns:dcterms="http://purl.org/dc/terms/" xmlns:xsi="http://www.w3.org/2001/XMLSchema-instance" xsi:type="dcterms:W3CDTF">2026-05-07T08:25:12Z</dcterms:modified>
</cp:coreProperties>
</file>